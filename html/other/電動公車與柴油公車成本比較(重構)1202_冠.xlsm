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xampp\htdocs\other\"/>
    </mc:Choice>
  </mc:AlternateContent>
  <bookViews>
    <workbookView xWindow="6885" yWindow="3870" windowWidth="14820" windowHeight="11385" activeTab="4"/>
  </bookViews>
  <sheets>
    <sheet name="LCC總表" sheetId="1" r:id="rId1"/>
    <sheet name="補助政策" sheetId="5" r:id="rId2"/>
    <sheet name="LCC成本圖表" sheetId="4" r:id="rId3"/>
    <sheet name="能源價格" sheetId="3" r:id="rId4"/>
    <sheet name="計算過程(勿更動)" sheetId="2" r:id="rId5"/>
    <sheet name="範例_LCC總表" sheetId="12" r:id="rId6"/>
    <sheet name="範例_補助政策" sheetId="10" r:id="rId7"/>
    <sheet name="範例_LCC成本圖表" sheetId="11" r:id="rId8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30" i="1" l="1"/>
  <c r="AB31" i="1"/>
  <c r="AB32" i="1"/>
  <c r="AB29" i="1"/>
  <c r="AC22" i="1"/>
  <c r="AB22" i="1"/>
  <c r="AA22" i="1"/>
  <c r="Z22" i="1"/>
  <c r="AC21" i="1"/>
  <c r="AB21" i="1"/>
  <c r="AA21" i="1"/>
  <c r="Z21" i="1"/>
  <c r="AD20" i="1"/>
  <c r="AC20" i="1"/>
  <c r="AB20" i="1"/>
  <c r="AA20" i="1"/>
  <c r="Z20" i="1"/>
  <c r="AD14" i="1"/>
  <c r="AC14" i="1"/>
  <c r="AB14" i="1"/>
  <c r="AA14" i="1"/>
  <c r="Z14" i="1"/>
  <c r="W65" i="12"/>
  <c r="U65" i="12"/>
  <c r="S65" i="12"/>
  <c r="Q65" i="12"/>
  <c r="O65" i="12"/>
  <c r="M65" i="12"/>
  <c r="K65" i="12"/>
  <c r="I65" i="12"/>
  <c r="G65" i="12"/>
  <c r="E65" i="12"/>
  <c r="C65" i="12"/>
  <c r="W56" i="12"/>
  <c r="S56" i="12"/>
  <c r="M56" i="12"/>
  <c r="K56" i="12"/>
  <c r="E56" i="12"/>
  <c r="C56" i="12"/>
  <c r="W48" i="12"/>
  <c r="U48" i="12"/>
  <c r="U56" i="12" s="1"/>
  <c r="S48" i="12"/>
  <c r="Q48" i="12"/>
  <c r="Q56" i="12" s="1"/>
  <c r="O48" i="12"/>
  <c r="O56" i="12" s="1"/>
  <c r="K48" i="12"/>
  <c r="I48" i="12"/>
  <c r="G48" i="12"/>
  <c r="G56" i="12" s="1"/>
  <c r="E48" i="12"/>
  <c r="K47" i="12"/>
  <c r="I47" i="12"/>
  <c r="I56" i="12" s="1"/>
  <c r="G47" i="12"/>
  <c r="E47" i="12"/>
  <c r="W41" i="12"/>
  <c r="S41" i="12"/>
  <c r="K41" i="12"/>
  <c r="G41" i="12"/>
  <c r="C41" i="12"/>
  <c r="W40" i="12"/>
  <c r="U40" i="12"/>
  <c r="S40" i="12"/>
  <c r="Q40" i="12"/>
  <c r="O40" i="12"/>
  <c r="O41" i="12" s="1"/>
  <c r="M40" i="12"/>
  <c r="K40" i="12"/>
  <c r="I40" i="12"/>
  <c r="G40" i="12"/>
  <c r="E40" i="12"/>
  <c r="W39" i="12"/>
  <c r="U39" i="12"/>
  <c r="U41" i="12" s="1"/>
  <c r="S39" i="12"/>
  <c r="Q39" i="12"/>
  <c r="Q41" i="12" s="1"/>
  <c r="O39" i="12"/>
  <c r="M39" i="12"/>
  <c r="M41" i="12" s="1"/>
  <c r="K39" i="12"/>
  <c r="I39" i="12"/>
  <c r="I41" i="12" s="1"/>
  <c r="G39" i="12"/>
  <c r="E39" i="12"/>
  <c r="E41" i="12" s="1"/>
  <c r="C34" i="12"/>
  <c r="K31" i="12"/>
  <c r="G31" i="12"/>
  <c r="W24" i="12"/>
  <c r="W67" i="12" s="1"/>
  <c r="W72" i="12" s="1"/>
  <c r="U24" i="12"/>
  <c r="U67" i="12" s="1"/>
  <c r="U72" i="12" s="1"/>
  <c r="S24" i="12"/>
  <c r="S68" i="12" s="1"/>
  <c r="S69" i="12" s="1"/>
  <c r="Q24" i="12"/>
  <c r="Q68" i="12" s="1"/>
  <c r="Q69" i="12" s="1"/>
  <c r="O24" i="12"/>
  <c r="O67" i="12" s="1"/>
  <c r="O72" i="12" s="1"/>
  <c r="K24" i="12"/>
  <c r="G24" i="12"/>
  <c r="E24" i="12"/>
  <c r="C24" i="12"/>
  <c r="W19" i="12"/>
  <c r="U19" i="12"/>
  <c r="S19" i="12"/>
  <c r="Q19" i="12"/>
  <c r="O19" i="12"/>
  <c r="M19" i="12"/>
  <c r="M24" i="12" s="1"/>
  <c r="K19" i="12"/>
  <c r="I19" i="12"/>
  <c r="I31" i="12" s="1"/>
  <c r="G19" i="12"/>
  <c r="E19" i="12"/>
  <c r="E31" i="12" s="1"/>
  <c r="U68" i="12" l="1"/>
  <c r="U69" i="12" s="1"/>
  <c r="Q67" i="12"/>
  <c r="Q72" i="12" s="1"/>
  <c r="S67" i="12"/>
  <c r="S72" i="12" s="1"/>
  <c r="W68" i="12"/>
  <c r="W69" i="12" s="1"/>
  <c r="O68" i="12"/>
  <c r="O69" i="12" s="1"/>
  <c r="I24" i="12"/>
  <c r="C16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D10" i="10" s="1"/>
  <c r="E10" i="10"/>
  <c r="C4" i="10"/>
  <c r="Q12" i="10" s="1"/>
  <c r="C3" i="10"/>
  <c r="R8" i="10" s="1"/>
  <c r="E11" i="5"/>
  <c r="W19" i="1"/>
  <c r="U19" i="1"/>
  <c r="S19" i="1"/>
  <c r="Q19" i="1"/>
  <c r="O19" i="1"/>
  <c r="M19" i="1"/>
  <c r="K19" i="1"/>
  <c r="I19" i="1"/>
  <c r="G19" i="1"/>
  <c r="E19" i="1"/>
  <c r="E24" i="1"/>
  <c r="Z12" i="1" s="1"/>
  <c r="F12" i="10" l="1"/>
  <c r="G12" i="10"/>
  <c r="O12" i="10"/>
  <c r="R12" i="10"/>
  <c r="J12" i="10"/>
  <c r="N12" i="10"/>
  <c r="K12" i="10"/>
  <c r="L12" i="10"/>
  <c r="H12" i="10"/>
  <c r="P12" i="10"/>
  <c r="G8" i="10"/>
  <c r="K8" i="10"/>
  <c r="O8" i="10"/>
  <c r="H8" i="10"/>
  <c r="L8" i="10"/>
  <c r="P8" i="10"/>
  <c r="E12" i="10"/>
  <c r="I12" i="10"/>
  <c r="M12" i="10"/>
  <c r="E8" i="10"/>
  <c r="I8" i="10"/>
  <c r="M8" i="10"/>
  <c r="Q8" i="10"/>
  <c r="F8" i="10"/>
  <c r="J8" i="10"/>
  <c r="N8" i="10"/>
  <c r="W39" i="1"/>
  <c r="U39" i="1"/>
  <c r="U41" i="1" s="1"/>
  <c r="S39" i="1"/>
  <c r="Q39" i="1"/>
  <c r="O39" i="1"/>
  <c r="M39" i="1"/>
  <c r="K39" i="1"/>
  <c r="I39" i="1"/>
  <c r="I41" i="1" s="1"/>
  <c r="G39" i="1"/>
  <c r="E39" i="1"/>
  <c r="W40" i="1"/>
  <c r="U40" i="1"/>
  <c r="S40" i="1"/>
  <c r="Q40" i="1"/>
  <c r="O40" i="1"/>
  <c r="M40" i="1"/>
  <c r="K40" i="1"/>
  <c r="I40" i="1"/>
  <c r="G40" i="1"/>
  <c r="E40" i="1"/>
  <c r="O41" i="1" l="1"/>
  <c r="K41" i="1"/>
  <c r="W41" i="1"/>
  <c r="E41" i="1"/>
  <c r="Q41" i="1"/>
  <c r="G41" i="1"/>
  <c r="S41" i="1"/>
  <c r="C12" i="10"/>
  <c r="D12" i="10"/>
  <c r="M41" i="1"/>
  <c r="W48" i="1"/>
  <c r="U48" i="1"/>
  <c r="S48" i="1"/>
  <c r="Q48" i="1"/>
  <c r="D4" i="2"/>
  <c r="O48" i="1"/>
  <c r="AN13" i="3"/>
  <c r="AN12" i="3"/>
  <c r="AN11" i="3"/>
  <c r="AN10" i="3"/>
  <c r="AN9" i="3"/>
  <c r="AN8" i="3"/>
  <c r="AN7" i="3"/>
  <c r="AN6" i="3"/>
  <c r="AN5" i="3"/>
  <c r="AN4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AO25" i="3"/>
  <c r="D29" i="12" l="1"/>
  <c r="D30" i="12"/>
  <c r="AN37" i="3"/>
  <c r="AN36" i="3"/>
  <c r="AN35" i="3"/>
  <c r="AN34" i="3"/>
  <c r="AN33" i="3"/>
  <c r="AN32" i="3"/>
  <c r="AN31" i="3"/>
  <c r="AN30" i="3"/>
  <c r="AN29" i="3"/>
  <c r="D23" i="3"/>
  <c r="D21" i="3"/>
  <c r="D19" i="3"/>
  <c r="E15" i="3"/>
  <c r="E12" i="3"/>
  <c r="AO29" i="3" s="1"/>
  <c r="E9" i="3"/>
  <c r="E6" i="3"/>
  <c r="AO31" i="3" l="1"/>
  <c r="AO36" i="3"/>
  <c r="AO35" i="3"/>
  <c r="AO33" i="3"/>
  <c r="AO37" i="3"/>
  <c r="AO34" i="3"/>
  <c r="AO28" i="3"/>
  <c r="AO32" i="3"/>
  <c r="AO24" i="3"/>
  <c r="AO23" i="3"/>
  <c r="AO22" i="3"/>
  <c r="AO18" i="3"/>
  <c r="AO20" i="3"/>
  <c r="AO19" i="3"/>
  <c r="AO21" i="3"/>
  <c r="AO17" i="3"/>
  <c r="AO16" i="3"/>
  <c r="AO30" i="3"/>
  <c r="K48" i="1" l="1"/>
  <c r="G48" i="1" l="1"/>
  <c r="E48" i="1" l="1"/>
  <c r="I48" i="1"/>
  <c r="D39" i="2"/>
  <c r="D38" i="2"/>
  <c r="D37" i="2"/>
  <c r="W56" i="1"/>
  <c r="U56" i="1"/>
  <c r="S56" i="1"/>
  <c r="Q56" i="1"/>
  <c r="O56" i="1"/>
  <c r="M56" i="1"/>
  <c r="K31" i="1" l="1"/>
  <c r="G31" i="1"/>
  <c r="I31" i="1"/>
  <c r="AN97" i="3" l="1"/>
  <c r="AN96" i="3"/>
  <c r="AN95" i="3"/>
  <c r="AN94" i="3"/>
  <c r="AN93" i="3"/>
  <c r="AN92" i="3"/>
  <c r="AN91" i="3"/>
  <c r="AN90" i="3"/>
  <c r="AN89" i="3"/>
  <c r="AN88" i="3"/>
  <c r="BJ41" i="3"/>
  <c r="BJ43" i="3" s="1"/>
  <c r="AN73" i="3"/>
  <c r="AN72" i="3"/>
  <c r="AN71" i="3"/>
  <c r="AN70" i="3"/>
  <c r="AN69" i="3"/>
  <c r="AN67" i="3"/>
  <c r="AN66" i="3"/>
  <c r="AN68" i="3"/>
  <c r="AN64" i="3"/>
  <c r="AN65" i="3"/>
  <c r="BJ45" i="3" l="1"/>
  <c r="BJ91" i="3"/>
  <c r="AO40" i="3"/>
  <c r="BJ93" i="3" l="1"/>
  <c r="BJ47" i="3"/>
  <c r="AP49" i="3"/>
  <c r="AP97" i="3" s="1"/>
  <c r="AP48" i="3"/>
  <c r="AP96" i="3" s="1"/>
  <c r="AP47" i="3"/>
  <c r="AP95" i="3" s="1"/>
  <c r="AP46" i="3"/>
  <c r="AP94" i="3" s="1"/>
  <c r="AP45" i="3"/>
  <c r="AP93" i="3" s="1"/>
  <c r="AP44" i="3"/>
  <c r="AP92" i="3" s="1"/>
  <c r="AP43" i="3"/>
  <c r="AP91" i="3" s="1"/>
  <c r="AP41" i="3"/>
  <c r="AP42" i="3"/>
  <c r="AP90" i="3" s="1"/>
  <c r="AO49" i="3"/>
  <c r="AO97" i="3" s="1"/>
  <c r="AO48" i="3"/>
  <c r="AO96" i="3" s="1"/>
  <c r="AO47" i="3"/>
  <c r="AO95" i="3" s="1"/>
  <c r="AO46" i="3"/>
  <c r="AO94" i="3" s="1"/>
  <c r="AO45" i="3"/>
  <c r="AO93" i="3" s="1"/>
  <c r="AO44" i="3"/>
  <c r="AO92" i="3" s="1"/>
  <c r="AO43" i="3"/>
  <c r="AO91" i="3" s="1"/>
  <c r="AO42" i="3"/>
  <c r="AO90" i="3" s="1"/>
  <c r="AP40" i="3"/>
  <c r="AO41" i="3"/>
  <c r="AN53" i="3"/>
  <c r="AN54" i="3"/>
  <c r="AN55" i="3"/>
  <c r="AN56" i="3"/>
  <c r="AN57" i="3"/>
  <c r="AN58" i="3"/>
  <c r="AN59" i="3"/>
  <c r="AN60" i="3"/>
  <c r="AN61" i="3"/>
  <c r="AN52" i="3"/>
  <c r="AN49" i="3"/>
  <c r="AN48" i="3"/>
  <c r="AN47" i="3"/>
  <c r="AN46" i="3"/>
  <c r="AN45" i="3"/>
  <c r="AN44" i="3"/>
  <c r="AN43" i="3"/>
  <c r="AN42" i="3"/>
  <c r="AN41" i="3"/>
  <c r="AN40" i="3"/>
  <c r="AO73" i="3"/>
  <c r="AN25" i="3"/>
  <c r="AN24" i="3"/>
  <c r="AN23" i="3"/>
  <c r="AN22" i="3"/>
  <c r="AN21" i="3"/>
  <c r="AN20" i="3"/>
  <c r="AN19" i="3"/>
  <c r="AN18" i="3"/>
  <c r="AN17" i="3"/>
  <c r="AN16" i="3"/>
  <c r="BJ49" i="3" l="1"/>
  <c r="BJ97" i="3" s="1"/>
  <c r="BJ95" i="3"/>
  <c r="W65" i="1"/>
  <c r="U65" i="1"/>
  <c r="S65" i="1"/>
  <c r="Q65" i="1"/>
  <c r="D36" i="2" s="1"/>
  <c r="O65" i="1"/>
  <c r="M65" i="1"/>
  <c r="K65" i="1"/>
  <c r="I65" i="1"/>
  <c r="G65" i="1"/>
  <c r="E65" i="1"/>
  <c r="W24" i="1" l="1"/>
  <c r="U24" i="1"/>
  <c r="S24" i="1"/>
  <c r="Q24" i="1"/>
  <c r="O24" i="1"/>
  <c r="M24" i="1"/>
  <c r="AD12" i="1" s="1"/>
  <c r="K24" i="1"/>
  <c r="AC12" i="1" s="1"/>
  <c r="I24" i="1"/>
  <c r="AB12" i="1" s="1"/>
  <c r="G24" i="1"/>
  <c r="AA12" i="1" s="1"/>
  <c r="AQ41" i="3"/>
  <c r="AR41" i="3"/>
  <c r="AS41" i="3"/>
  <c r="AT41" i="3"/>
  <c r="AU41" i="3"/>
  <c r="AV41" i="3"/>
  <c r="AX41" i="3"/>
  <c r="AX43" i="3" s="1"/>
  <c r="AY41" i="3"/>
  <c r="AY43" i="3" s="1"/>
  <c r="AZ41" i="3"/>
  <c r="AZ43" i="3" s="1"/>
  <c r="BA41" i="3"/>
  <c r="BB41" i="3"/>
  <c r="BB43" i="3" s="1"/>
  <c r="BC41" i="3"/>
  <c r="BC43" i="3" s="1"/>
  <c r="BD41" i="3"/>
  <c r="BD43" i="3" s="1"/>
  <c r="BF41" i="3"/>
  <c r="BF43" i="3" s="1"/>
  <c r="BG41" i="3"/>
  <c r="BH41" i="3"/>
  <c r="BH43" i="3" s="1"/>
  <c r="BI41" i="3"/>
  <c r="BI43" i="3" s="1"/>
  <c r="AQ40" i="3"/>
  <c r="AQ42" i="3" s="1"/>
  <c r="AR40" i="3"/>
  <c r="AR42" i="3" s="1"/>
  <c r="AS40" i="3"/>
  <c r="AS42" i="3" s="1"/>
  <c r="AT40" i="3"/>
  <c r="AT42" i="3" s="1"/>
  <c r="AV40" i="3"/>
  <c r="AV42" i="3" s="1"/>
  <c r="AX40" i="3"/>
  <c r="AX42" i="3" s="1"/>
  <c r="AY40" i="3"/>
  <c r="AY42" i="3" s="1"/>
  <c r="AZ40" i="3"/>
  <c r="AZ42" i="3" s="1"/>
  <c r="BB40" i="3"/>
  <c r="BB42" i="3" s="1"/>
  <c r="BC40" i="3"/>
  <c r="BC42" i="3" s="1"/>
  <c r="BD40" i="3"/>
  <c r="BD42" i="3" s="1"/>
  <c r="BF40" i="3"/>
  <c r="BF42" i="3" s="1"/>
  <c r="BH40" i="3"/>
  <c r="BH42" i="3" s="1"/>
  <c r="BI40" i="3"/>
  <c r="BI42" i="3" s="1"/>
  <c r="BJ40" i="3"/>
  <c r="BJ42" i="3" s="1"/>
  <c r="E31" i="1" l="1"/>
  <c r="AQ43" i="3"/>
  <c r="AQ45" i="3" s="1"/>
  <c r="AT43" i="3"/>
  <c r="AT91" i="3" s="1"/>
  <c r="AS43" i="3"/>
  <c r="AS91" i="3" s="1"/>
  <c r="AV43" i="3"/>
  <c r="AV91" i="3" s="1"/>
  <c r="AR43" i="3"/>
  <c r="AR45" i="3" s="1"/>
  <c r="BH90" i="3"/>
  <c r="BH44" i="3"/>
  <c r="AS90" i="3"/>
  <c r="AS44" i="3"/>
  <c r="AZ45" i="3"/>
  <c r="AZ91" i="3"/>
  <c r="BF90" i="3"/>
  <c r="BF44" i="3"/>
  <c r="AR90" i="3"/>
  <c r="AR44" i="3"/>
  <c r="BG89" i="3"/>
  <c r="BC45" i="3"/>
  <c r="BC91" i="3"/>
  <c r="AY45" i="3"/>
  <c r="AY91" i="3"/>
  <c r="AX90" i="3"/>
  <c r="AX44" i="3"/>
  <c r="BD45" i="3"/>
  <c r="BD91" i="3"/>
  <c r="BB90" i="3"/>
  <c r="BB44" i="3"/>
  <c r="BJ90" i="3"/>
  <c r="BJ44" i="3"/>
  <c r="AZ90" i="3"/>
  <c r="AZ44" i="3"/>
  <c r="AV90" i="3"/>
  <c r="AV44" i="3"/>
  <c r="AQ90" i="3"/>
  <c r="AQ44" i="3"/>
  <c r="BF45" i="3"/>
  <c r="BF91" i="3"/>
  <c r="BB45" i="3"/>
  <c r="BB91" i="3"/>
  <c r="AX45" i="3"/>
  <c r="AX91" i="3"/>
  <c r="BC90" i="3"/>
  <c r="BC44" i="3"/>
  <c r="BH45" i="3"/>
  <c r="BH91" i="3"/>
  <c r="BI90" i="3"/>
  <c r="BI44" i="3"/>
  <c r="BD90" i="3"/>
  <c r="BD44" i="3"/>
  <c r="AY90" i="3"/>
  <c r="AY44" i="3"/>
  <c r="AT90" i="3"/>
  <c r="AT44" i="3"/>
  <c r="BI45" i="3"/>
  <c r="BI91" i="3"/>
  <c r="BJ89" i="3"/>
  <c r="BI89" i="3"/>
  <c r="BH89" i="3"/>
  <c r="BF89" i="3"/>
  <c r="BD89" i="3"/>
  <c r="BC89" i="3"/>
  <c r="BB89" i="3"/>
  <c r="BA89" i="3"/>
  <c r="AZ89" i="3"/>
  <c r="AY89" i="3"/>
  <c r="AX89" i="3"/>
  <c r="AV89" i="3"/>
  <c r="AU89" i="3"/>
  <c r="AT89" i="3"/>
  <c r="AS89" i="3"/>
  <c r="AR89" i="3"/>
  <c r="AQ89" i="3"/>
  <c r="AP89" i="3"/>
  <c r="AO89" i="3"/>
  <c r="BJ88" i="3"/>
  <c r="BI88" i="3"/>
  <c r="BH88" i="3"/>
  <c r="BF88" i="3"/>
  <c r="BD88" i="3"/>
  <c r="BC88" i="3"/>
  <c r="BB88" i="3"/>
  <c r="AZ88" i="3"/>
  <c r="AY88" i="3"/>
  <c r="AX88" i="3"/>
  <c r="AV88" i="3"/>
  <c r="AT88" i="3"/>
  <c r="AS88" i="3"/>
  <c r="AR88" i="3"/>
  <c r="AQ88" i="3"/>
  <c r="AP88" i="3"/>
  <c r="AO88" i="3"/>
  <c r="AN85" i="3"/>
  <c r="AN84" i="3"/>
  <c r="AN83" i="3"/>
  <c r="AN82" i="3"/>
  <c r="AN81" i="3"/>
  <c r="AN80" i="3"/>
  <c r="AN79" i="3"/>
  <c r="AN78" i="3"/>
  <c r="AN77" i="3"/>
  <c r="AN76" i="3"/>
  <c r="AT45" i="3" l="1"/>
  <c r="AT93" i="3" s="1"/>
  <c r="AV45" i="3"/>
  <c r="AV93" i="3" s="1"/>
  <c r="AS45" i="3"/>
  <c r="AS93" i="3" s="1"/>
  <c r="AQ91" i="3"/>
  <c r="AR91" i="3"/>
  <c r="AT92" i="3"/>
  <c r="AT46" i="3"/>
  <c r="BD92" i="3"/>
  <c r="BD46" i="3"/>
  <c r="AX93" i="3"/>
  <c r="AX47" i="3"/>
  <c r="BF93" i="3"/>
  <c r="BF47" i="3"/>
  <c r="BD93" i="3"/>
  <c r="BD47" i="3"/>
  <c r="AY93" i="3"/>
  <c r="AY47" i="3"/>
  <c r="AV92" i="3"/>
  <c r="AV46" i="3"/>
  <c r="BB92" i="3"/>
  <c r="BB46" i="3"/>
  <c r="AQ93" i="3"/>
  <c r="AQ47" i="3"/>
  <c r="AS92" i="3"/>
  <c r="AS46" i="3"/>
  <c r="AQ92" i="3"/>
  <c r="AQ46" i="3"/>
  <c r="AZ92" i="3"/>
  <c r="AZ46" i="3"/>
  <c r="BJ92" i="3"/>
  <c r="BJ46" i="3"/>
  <c r="AX92" i="3"/>
  <c r="AX46" i="3"/>
  <c r="AR92" i="3"/>
  <c r="AR46" i="3"/>
  <c r="BF46" i="3"/>
  <c r="BF92" i="3"/>
  <c r="BH46" i="3"/>
  <c r="BH92" i="3"/>
  <c r="BI93" i="3"/>
  <c r="BI47" i="3"/>
  <c r="BC92" i="3"/>
  <c r="BC46" i="3"/>
  <c r="AR93" i="3"/>
  <c r="AR47" i="3"/>
  <c r="AY92" i="3"/>
  <c r="AY46" i="3"/>
  <c r="BI46" i="3"/>
  <c r="BI92" i="3"/>
  <c r="BH93" i="3"/>
  <c r="BH47" i="3"/>
  <c r="BB93" i="3"/>
  <c r="BB47" i="3"/>
  <c r="BC93" i="3"/>
  <c r="BC47" i="3"/>
  <c r="AZ93" i="3"/>
  <c r="AZ47" i="3"/>
  <c r="BK89" i="3"/>
  <c r="AT47" i="3" l="1"/>
  <c r="AT49" i="3" s="1"/>
  <c r="AT97" i="3" s="1"/>
  <c r="AV47" i="3"/>
  <c r="AV49" i="3" s="1"/>
  <c r="AV97" i="3" s="1"/>
  <c r="AS47" i="3"/>
  <c r="AS49" i="3" s="1"/>
  <c r="AS97" i="3" s="1"/>
  <c r="BB49" i="3"/>
  <c r="BB97" i="3" s="1"/>
  <c r="BB95" i="3"/>
  <c r="BC94" i="3"/>
  <c r="BC48" i="3"/>
  <c r="BC96" i="3" s="1"/>
  <c r="AZ94" i="3"/>
  <c r="AZ48" i="3"/>
  <c r="AZ96" i="3" s="1"/>
  <c r="AQ95" i="3"/>
  <c r="AQ49" i="3"/>
  <c r="AQ97" i="3" s="1"/>
  <c r="AV94" i="3"/>
  <c r="AV48" i="3"/>
  <c r="AV96" i="3" s="1"/>
  <c r="BF49" i="3"/>
  <c r="BF97" i="3" s="1"/>
  <c r="BF95" i="3"/>
  <c r="BD94" i="3"/>
  <c r="BD48" i="3"/>
  <c r="BD96" i="3" s="1"/>
  <c r="BI94" i="3"/>
  <c r="BI48" i="3"/>
  <c r="BI96" i="3" s="1"/>
  <c r="BF94" i="3"/>
  <c r="BF48" i="3"/>
  <c r="BF96" i="3" s="1"/>
  <c r="BC49" i="3"/>
  <c r="BC97" i="3" s="1"/>
  <c r="BC95" i="3"/>
  <c r="BH49" i="3"/>
  <c r="BH97" i="3" s="1"/>
  <c r="BH95" i="3"/>
  <c r="AY94" i="3"/>
  <c r="AY48" i="3"/>
  <c r="AY96" i="3" s="1"/>
  <c r="BI49" i="3"/>
  <c r="BI97" i="3" s="1"/>
  <c r="BI95" i="3"/>
  <c r="AR94" i="3"/>
  <c r="AR48" i="3"/>
  <c r="AR96" i="3" s="1"/>
  <c r="AX94" i="3"/>
  <c r="AX48" i="3"/>
  <c r="AX96" i="3" s="1"/>
  <c r="BJ94" i="3"/>
  <c r="BJ48" i="3"/>
  <c r="BJ96" i="3" s="1"/>
  <c r="AQ94" i="3"/>
  <c r="AQ48" i="3"/>
  <c r="AQ96" i="3" s="1"/>
  <c r="AS94" i="3"/>
  <c r="AS48" i="3"/>
  <c r="AS96" i="3" s="1"/>
  <c r="BB94" i="3"/>
  <c r="BB48" i="3"/>
  <c r="BB96" i="3" s="1"/>
  <c r="BD49" i="3"/>
  <c r="BD97" i="3" s="1"/>
  <c r="BD95" i="3"/>
  <c r="AX49" i="3"/>
  <c r="AX97" i="3" s="1"/>
  <c r="AX95" i="3"/>
  <c r="AT94" i="3"/>
  <c r="AT48" i="3"/>
  <c r="AT96" i="3" s="1"/>
  <c r="AZ49" i="3"/>
  <c r="AZ97" i="3" s="1"/>
  <c r="AZ95" i="3"/>
  <c r="AR49" i="3"/>
  <c r="AR97" i="3" s="1"/>
  <c r="AR95" i="3"/>
  <c r="AY49" i="3"/>
  <c r="AY97" i="3" s="1"/>
  <c r="AY95" i="3"/>
  <c r="BH94" i="3"/>
  <c r="BH48" i="3"/>
  <c r="BH96" i="3" s="1"/>
  <c r="D41" i="2"/>
  <c r="E41" i="2" s="1"/>
  <c r="D29" i="2"/>
  <c r="D35" i="2" s="1"/>
  <c r="AS95" i="3" l="1"/>
  <c r="AT95" i="3"/>
  <c r="AV95" i="3"/>
  <c r="E29" i="2"/>
  <c r="F41" i="2"/>
  <c r="F29" i="2" l="1"/>
  <c r="G41" i="2"/>
  <c r="G29" i="2" l="1"/>
  <c r="H41" i="2"/>
  <c r="H29" i="2" l="1"/>
  <c r="I41" i="2"/>
  <c r="I29" i="2" l="1"/>
  <c r="J41" i="2"/>
  <c r="J29" i="2" l="1"/>
  <c r="K41" i="2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C4" i="5"/>
  <c r="F13" i="5" s="1"/>
  <c r="C3" i="5"/>
  <c r="AN28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F15" i="3" s="1"/>
  <c r="E14" i="3"/>
  <c r="G15" i="3" l="1"/>
  <c r="H15" i="3" s="1"/>
  <c r="I15" i="3" s="1"/>
  <c r="J15" i="3" s="1"/>
  <c r="K15" i="3" s="1"/>
  <c r="D86" i="12" s="1"/>
  <c r="AW41" i="3"/>
  <c r="AW40" i="3"/>
  <c r="BE41" i="3"/>
  <c r="BE40" i="3"/>
  <c r="BG40" i="3"/>
  <c r="BG88" i="3" s="1"/>
  <c r="BG43" i="3"/>
  <c r="BA40" i="3"/>
  <c r="BA42" i="3" s="1"/>
  <c r="BA43" i="3"/>
  <c r="AU40" i="3"/>
  <c r="AU42" i="3" s="1"/>
  <c r="AU43" i="3"/>
  <c r="K29" i="2"/>
  <c r="L41" i="2"/>
  <c r="BK41" i="3"/>
  <c r="Q13" i="5"/>
  <c r="I13" i="5"/>
  <c r="M13" i="5"/>
  <c r="P13" i="5"/>
  <c r="L13" i="5"/>
  <c r="H13" i="5"/>
  <c r="E13" i="5"/>
  <c r="O13" i="5"/>
  <c r="K13" i="5"/>
  <c r="G13" i="5"/>
  <c r="R13" i="5"/>
  <c r="N13" i="5"/>
  <c r="J13" i="5"/>
  <c r="D11" i="5"/>
  <c r="M9" i="5"/>
  <c r="J9" i="5"/>
  <c r="Q9" i="5"/>
  <c r="I9" i="5"/>
  <c r="R9" i="5"/>
  <c r="N9" i="5"/>
  <c r="F9" i="5"/>
  <c r="P9" i="5"/>
  <c r="L9" i="5"/>
  <c r="H9" i="5"/>
  <c r="E9" i="5"/>
  <c r="O9" i="5"/>
  <c r="K9" i="5"/>
  <c r="G9" i="5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Q11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Q8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Q5" i="3"/>
  <c r="L15" i="3" l="1"/>
  <c r="M15" i="3" s="1"/>
  <c r="N15" i="3" s="1"/>
  <c r="O15" i="3" s="1"/>
  <c r="P15" i="3" s="1"/>
  <c r="Q15" i="3" s="1"/>
  <c r="R15" i="3" s="1"/>
  <c r="S15" i="3" s="1"/>
  <c r="T15" i="3" s="1"/>
  <c r="U15" i="3" s="1"/>
  <c r="V15" i="3" s="1"/>
  <c r="W15" i="3" s="1"/>
  <c r="X15" i="3" s="1"/>
  <c r="Y15" i="3" s="1"/>
  <c r="Z15" i="3" s="1"/>
  <c r="G47" i="1"/>
  <c r="G56" i="1" s="1"/>
  <c r="K47" i="1"/>
  <c r="K56" i="1" s="1"/>
  <c r="BE42" i="3"/>
  <c r="BE88" i="3"/>
  <c r="BE43" i="3"/>
  <c r="BE89" i="3"/>
  <c r="AW42" i="3"/>
  <c r="AW88" i="3"/>
  <c r="AW43" i="3"/>
  <c r="AW89" i="3"/>
  <c r="BA88" i="3"/>
  <c r="AU88" i="3"/>
  <c r="BK88" i="3" s="1"/>
  <c r="BG42" i="3"/>
  <c r="BG44" i="3" s="1"/>
  <c r="AU91" i="3"/>
  <c r="AU45" i="3"/>
  <c r="BK43" i="3"/>
  <c r="G6" i="2" s="1"/>
  <c r="BA45" i="3"/>
  <c r="BA91" i="3"/>
  <c r="BG45" i="3"/>
  <c r="BG91" i="3"/>
  <c r="I47" i="1"/>
  <c r="I56" i="1" s="1"/>
  <c r="E47" i="1"/>
  <c r="E56" i="1" s="1"/>
  <c r="BK40" i="3"/>
  <c r="D6" i="2" s="1"/>
  <c r="E6" i="2"/>
  <c r="AU90" i="3"/>
  <c r="AU44" i="3"/>
  <c r="BA90" i="3"/>
  <c r="BA44" i="3"/>
  <c r="D86" i="1"/>
  <c r="L29" i="2"/>
  <c r="M41" i="2"/>
  <c r="D13" i="5"/>
  <c r="C13" i="5"/>
  <c r="C17" i="5"/>
  <c r="L34" i="2" l="1"/>
  <c r="L31" i="2"/>
  <c r="L33" i="2"/>
  <c r="L32" i="2"/>
  <c r="BE91" i="3"/>
  <c r="BE45" i="3"/>
  <c r="AW44" i="3"/>
  <c r="AW90" i="3"/>
  <c r="AW45" i="3"/>
  <c r="AW91" i="3"/>
  <c r="BE90" i="3"/>
  <c r="BE44" i="3"/>
  <c r="BK42" i="3"/>
  <c r="F6" i="2" s="1"/>
  <c r="BK91" i="3"/>
  <c r="BG90" i="3"/>
  <c r="BK90" i="3" s="1"/>
  <c r="BA93" i="3"/>
  <c r="BA47" i="3"/>
  <c r="BG93" i="3"/>
  <c r="BG47" i="3"/>
  <c r="AU93" i="3"/>
  <c r="AU47" i="3"/>
  <c r="BK45" i="3"/>
  <c r="I6" i="2" s="1"/>
  <c r="BA92" i="3"/>
  <c r="BA46" i="3"/>
  <c r="AU92" i="3"/>
  <c r="AU46" i="3"/>
  <c r="BK44" i="3"/>
  <c r="BG46" i="3"/>
  <c r="BG92" i="3"/>
  <c r="M29" i="2"/>
  <c r="L30" i="2"/>
  <c r="N41" i="2"/>
  <c r="M34" i="2" l="1"/>
  <c r="M31" i="2"/>
  <c r="M33" i="2"/>
  <c r="M32" i="2"/>
  <c r="AW92" i="3"/>
  <c r="AW46" i="3"/>
  <c r="BE46" i="3"/>
  <c r="BE92" i="3"/>
  <c r="BE93" i="3"/>
  <c r="BE47" i="3"/>
  <c r="AW47" i="3"/>
  <c r="AW93" i="3"/>
  <c r="BK93" i="3"/>
  <c r="BK92" i="3"/>
  <c r="AU95" i="3"/>
  <c r="AU49" i="3"/>
  <c r="BK47" i="3"/>
  <c r="K6" i="2" s="1"/>
  <c r="BA95" i="3"/>
  <c r="BA49" i="3"/>
  <c r="BA97" i="3" s="1"/>
  <c r="BG49" i="3"/>
  <c r="BG97" i="3" s="1"/>
  <c r="BG95" i="3"/>
  <c r="H6" i="2"/>
  <c r="BG94" i="3"/>
  <c r="BG48" i="3"/>
  <c r="BG96" i="3" s="1"/>
  <c r="BA94" i="3"/>
  <c r="BA48" i="3"/>
  <c r="BA96" i="3" s="1"/>
  <c r="AU94" i="3"/>
  <c r="AU48" i="3"/>
  <c r="BK46" i="3"/>
  <c r="N29" i="2"/>
  <c r="M30" i="2"/>
  <c r="O41" i="2"/>
  <c r="N32" i="2" l="1"/>
  <c r="N34" i="2"/>
  <c r="N31" i="2"/>
  <c r="N33" i="2"/>
  <c r="BE48" i="3"/>
  <c r="BE96" i="3" s="1"/>
  <c r="BE94" i="3"/>
  <c r="AW94" i="3"/>
  <c r="AW48" i="3"/>
  <c r="AW96" i="3" s="1"/>
  <c r="BE95" i="3"/>
  <c r="BE49" i="3"/>
  <c r="BE97" i="3" s="1"/>
  <c r="AW49" i="3"/>
  <c r="AW97" i="3" s="1"/>
  <c r="AW95" i="3"/>
  <c r="BK94" i="3"/>
  <c r="BK95" i="3"/>
  <c r="AU97" i="3"/>
  <c r="BK97" i="3" s="1"/>
  <c r="BK49" i="3"/>
  <c r="M6" i="2" s="1"/>
  <c r="J6" i="2"/>
  <c r="AU96" i="3"/>
  <c r="BK96" i="3" s="1"/>
  <c r="BK48" i="3"/>
  <c r="O29" i="2"/>
  <c r="N30" i="2"/>
  <c r="P41" i="2"/>
  <c r="C65" i="1"/>
  <c r="O32" i="2" l="1"/>
  <c r="O34" i="2"/>
  <c r="O31" i="2"/>
  <c r="O33" i="2"/>
  <c r="L6" i="2"/>
  <c r="P29" i="2"/>
  <c r="O30" i="2"/>
  <c r="Q41" i="2"/>
  <c r="R41" i="2" s="1"/>
  <c r="S41" i="2" s="1"/>
  <c r="T41" i="2" s="1"/>
  <c r="U41" i="2" s="1"/>
  <c r="V41" i="2" s="1"/>
  <c r="W41" i="2" s="1"/>
  <c r="X41" i="2" s="1"/>
  <c r="Y41" i="2" s="1"/>
  <c r="E4" i="2"/>
  <c r="M4" i="2"/>
  <c r="L4" i="2"/>
  <c r="K4" i="2"/>
  <c r="J4" i="2"/>
  <c r="I4" i="2"/>
  <c r="H4" i="2"/>
  <c r="G4" i="2"/>
  <c r="F4" i="2"/>
  <c r="G23" i="3"/>
  <c r="G21" i="3"/>
  <c r="G19" i="3"/>
  <c r="F23" i="3"/>
  <c r="F21" i="3"/>
  <c r="F19" i="3"/>
  <c r="E23" i="3"/>
  <c r="E21" i="3"/>
  <c r="E19" i="3"/>
  <c r="P11" i="3"/>
  <c r="O11" i="3"/>
  <c r="N11" i="3"/>
  <c r="M11" i="3"/>
  <c r="L11" i="3"/>
  <c r="K11" i="3"/>
  <c r="J11" i="3"/>
  <c r="I11" i="3"/>
  <c r="H11" i="3"/>
  <c r="G11" i="3"/>
  <c r="F11" i="3"/>
  <c r="F12" i="3" s="1"/>
  <c r="E11" i="3"/>
  <c r="P8" i="3"/>
  <c r="O8" i="3"/>
  <c r="P5" i="3"/>
  <c r="O5" i="3"/>
  <c r="N8" i="3"/>
  <c r="M8" i="3"/>
  <c r="L8" i="3"/>
  <c r="K8" i="3"/>
  <c r="J8" i="3"/>
  <c r="I8" i="3"/>
  <c r="H8" i="3"/>
  <c r="G8" i="3"/>
  <c r="F8" i="3"/>
  <c r="F9" i="3" s="1"/>
  <c r="E8" i="3"/>
  <c r="N5" i="3"/>
  <c r="M5" i="3"/>
  <c r="L5" i="3"/>
  <c r="K5" i="3"/>
  <c r="J5" i="3"/>
  <c r="I5" i="3"/>
  <c r="H5" i="3"/>
  <c r="G5" i="3"/>
  <c r="F5" i="3"/>
  <c r="F6" i="3" s="1"/>
  <c r="G6" i="3" s="1"/>
  <c r="H6" i="3" s="1"/>
  <c r="I6" i="3" s="1"/>
  <c r="J6" i="3" s="1"/>
  <c r="K6" i="3" s="1"/>
  <c r="D83" i="12" s="1"/>
  <c r="E5" i="3"/>
  <c r="C56" i="1"/>
  <c r="C41" i="1"/>
  <c r="C34" i="1"/>
  <c r="C24" i="1"/>
  <c r="R29" i="12" l="1"/>
  <c r="R30" i="12"/>
  <c r="H30" i="12"/>
  <c r="H29" i="12"/>
  <c r="T30" i="12"/>
  <c r="T29" i="12"/>
  <c r="V30" i="12"/>
  <c r="V29" i="12"/>
  <c r="L30" i="12"/>
  <c r="L29" i="12"/>
  <c r="F29" i="12"/>
  <c r="F30" i="12"/>
  <c r="N29" i="12"/>
  <c r="N30" i="12"/>
  <c r="P29" i="12"/>
  <c r="P30" i="12"/>
  <c r="G12" i="3"/>
  <c r="H12" i="3" s="1"/>
  <c r="I12" i="3" s="1"/>
  <c r="L6" i="3"/>
  <c r="M6" i="3" s="1"/>
  <c r="N6" i="3" s="1"/>
  <c r="O6" i="3" s="1"/>
  <c r="P6" i="3" s="1"/>
  <c r="Q6" i="3" s="1"/>
  <c r="R6" i="3" s="1"/>
  <c r="S6" i="3" s="1"/>
  <c r="T6" i="3" s="1"/>
  <c r="U6" i="3" s="1"/>
  <c r="V6" i="3" s="1"/>
  <c r="W6" i="3" s="1"/>
  <c r="X6" i="3" s="1"/>
  <c r="Y6" i="3" s="1"/>
  <c r="Z6" i="3" s="1"/>
  <c r="AA6" i="3" s="1"/>
  <c r="AB6" i="3" s="1"/>
  <c r="AC6" i="3" s="1"/>
  <c r="AD6" i="3" s="1"/>
  <c r="AE6" i="3" s="1"/>
  <c r="AF6" i="3" s="1"/>
  <c r="AG6" i="3" s="1"/>
  <c r="AH6" i="3" s="1"/>
  <c r="AI6" i="3" s="1"/>
  <c r="AJ6" i="3" s="1"/>
  <c r="AP20" i="3"/>
  <c r="AP22" i="3"/>
  <c r="AP19" i="3"/>
  <c r="AP17" i="3"/>
  <c r="AP23" i="3"/>
  <c r="AP21" i="3"/>
  <c r="AP16" i="3"/>
  <c r="AP24" i="3"/>
  <c r="AP18" i="3"/>
  <c r="G9" i="3"/>
  <c r="H9" i="3"/>
  <c r="AP35" i="3"/>
  <c r="AP31" i="3"/>
  <c r="AP34" i="3"/>
  <c r="AP32" i="3"/>
  <c r="AP30" i="3"/>
  <c r="AP28" i="3"/>
  <c r="AP37" i="3"/>
  <c r="AP36" i="3"/>
  <c r="AP33" i="3"/>
  <c r="AP29" i="3"/>
  <c r="P33" i="2"/>
  <c r="P32" i="2"/>
  <c r="P34" i="2"/>
  <c r="P31" i="2"/>
  <c r="AO72" i="3"/>
  <c r="AO68" i="3"/>
  <c r="AO70" i="3"/>
  <c r="AO65" i="3"/>
  <c r="AO71" i="3"/>
  <c r="AO67" i="3"/>
  <c r="AO66" i="3"/>
  <c r="AO69" i="3"/>
  <c r="AO82" i="3"/>
  <c r="AO78" i="3"/>
  <c r="AO81" i="3"/>
  <c r="AO83" i="3"/>
  <c r="AO79" i="3"/>
  <c r="AO85" i="3"/>
  <c r="AO84" i="3"/>
  <c r="AO80" i="3"/>
  <c r="AO5" i="3"/>
  <c r="AO53" i="3" s="1"/>
  <c r="AO4" i="3"/>
  <c r="D34" i="2" s="1"/>
  <c r="Q29" i="2"/>
  <c r="P30" i="2"/>
  <c r="AO13" i="3"/>
  <c r="AO61" i="3" s="1"/>
  <c r="AO9" i="3"/>
  <c r="AO57" i="3" s="1"/>
  <c r="AO12" i="3"/>
  <c r="AO60" i="3" s="1"/>
  <c r="AO7" i="3"/>
  <c r="AO55" i="3" s="1"/>
  <c r="AO11" i="3"/>
  <c r="AO59" i="3" s="1"/>
  <c r="AO6" i="3"/>
  <c r="AO54" i="3" s="1"/>
  <c r="AO10" i="3"/>
  <c r="AO58" i="3" s="1"/>
  <c r="AO8" i="3"/>
  <c r="AO56" i="3" s="1"/>
  <c r="N30" i="1"/>
  <c r="N29" i="1"/>
  <c r="P30" i="1"/>
  <c r="P29" i="1"/>
  <c r="R29" i="1"/>
  <c r="R30" i="1"/>
  <c r="D29" i="1"/>
  <c r="D30" i="1"/>
  <c r="V30" i="1"/>
  <c r="V29" i="1"/>
  <c r="J29" i="1" s="1"/>
  <c r="L29" i="1"/>
  <c r="L30" i="1"/>
  <c r="T29" i="1"/>
  <c r="T30" i="1"/>
  <c r="H30" i="1"/>
  <c r="H29" i="1"/>
  <c r="F30" i="1"/>
  <c r="F29" i="1"/>
  <c r="AO77" i="3"/>
  <c r="J29" i="12" l="1"/>
  <c r="J30" i="12"/>
  <c r="AS34" i="3"/>
  <c r="AS28" i="3"/>
  <c r="AS37" i="3"/>
  <c r="AS30" i="3"/>
  <c r="AS29" i="3"/>
  <c r="AS36" i="3"/>
  <c r="AS32" i="3"/>
  <c r="AS33" i="3"/>
  <c r="AS31" i="3"/>
  <c r="AS35" i="3"/>
  <c r="AR19" i="3"/>
  <c r="AR17" i="3"/>
  <c r="AR22" i="3"/>
  <c r="AR24" i="3"/>
  <c r="AR18" i="3"/>
  <c r="AR21" i="3"/>
  <c r="AR16" i="3"/>
  <c r="AR23" i="3"/>
  <c r="AR20" i="3"/>
  <c r="AQ16" i="3"/>
  <c r="AQ22" i="3"/>
  <c r="AQ24" i="3"/>
  <c r="AQ21" i="3"/>
  <c r="AQ19" i="3"/>
  <c r="AQ18" i="3"/>
  <c r="AQ20" i="3"/>
  <c r="AQ17" i="3"/>
  <c r="AQ23" i="3"/>
  <c r="J12" i="3"/>
  <c r="I9" i="3"/>
  <c r="AR34" i="3"/>
  <c r="AR37" i="3"/>
  <c r="AR31" i="3"/>
  <c r="AR33" i="3"/>
  <c r="AR30" i="3"/>
  <c r="AR32" i="3"/>
  <c r="AR36" i="3"/>
  <c r="AR29" i="3"/>
  <c r="AR28" i="3"/>
  <c r="AR35" i="3"/>
  <c r="AQ31" i="3"/>
  <c r="AQ32" i="3"/>
  <c r="AQ30" i="3"/>
  <c r="AQ35" i="3"/>
  <c r="AQ34" i="3"/>
  <c r="AQ29" i="3"/>
  <c r="AQ37" i="3"/>
  <c r="AQ33" i="3"/>
  <c r="AQ36" i="3"/>
  <c r="AQ28" i="3"/>
  <c r="Q33" i="2"/>
  <c r="Q32" i="2"/>
  <c r="Q34" i="2"/>
  <c r="Q31" i="2"/>
  <c r="D33" i="2"/>
  <c r="D45" i="2" s="1"/>
  <c r="D31" i="2"/>
  <c r="D43" i="2" s="1"/>
  <c r="D32" i="2"/>
  <c r="D44" i="2" s="1"/>
  <c r="D30" i="2"/>
  <c r="D42" i="2" s="1"/>
  <c r="D51" i="2"/>
  <c r="D49" i="2"/>
  <c r="D47" i="2"/>
  <c r="D46" i="2"/>
  <c r="D50" i="2"/>
  <c r="D48" i="2"/>
  <c r="AP72" i="3"/>
  <c r="AP68" i="3"/>
  <c r="AP70" i="3"/>
  <c r="AP73" i="3"/>
  <c r="AP71" i="3"/>
  <c r="AP67" i="3"/>
  <c r="AP66" i="3"/>
  <c r="AP69" i="3"/>
  <c r="AP83" i="3"/>
  <c r="AP79" i="3"/>
  <c r="AP84" i="3"/>
  <c r="AP80" i="3"/>
  <c r="AP82" i="3"/>
  <c r="AP85" i="3"/>
  <c r="AP81" i="3"/>
  <c r="AP78" i="3"/>
  <c r="AO76" i="3"/>
  <c r="AO52" i="3"/>
  <c r="R29" i="2"/>
  <c r="Q30" i="2"/>
  <c r="E32" i="2"/>
  <c r="E33" i="2"/>
  <c r="AP13" i="3"/>
  <c r="AP11" i="3"/>
  <c r="AP12" i="3"/>
  <c r="AP8" i="3"/>
  <c r="AP9" i="3"/>
  <c r="AP6" i="3"/>
  <c r="AP54" i="3" s="1"/>
  <c r="AP10" i="3"/>
  <c r="AP7" i="3"/>
  <c r="AP55" i="3" s="1"/>
  <c r="J30" i="1"/>
  <c r="E31" i="2"/>
  <c r="E30" i="2"/>
  <c r="AP64" i="3"/>
  <c r="AP65" i="3"/>
  <c r="AP5" i="3"/>
  <c r="AP4" i="3"/>
  <c r="AP52" i="3" s="1"/>
  <c r="AT35" i="3" l="1"/>
  <c r="AT32" i="3"/>
  <c r="AT37" i="3"/>
  <c r="AT33" i="3"/>
  <c r="AT34" i="3"/>
  <c r="AT28" i="3"/>
  <c r="AT30" i="3"/>
  <c r="AT31" i="3"/>
  <c r="AT36" i="3"/>
  <c r="AT29" i="3"/>
  <c r="K12" i="3"/>
  <c r="D85" i="12" s="1"/>
  <c r="AS22" i="3"/>
  <c r="J9" i="3"/>
  <c r="AS17" i="3"/>
  <c r="AS24" i="3"/>
  <c r="AS21" i="3"/>
  <c r="AS20" i="3"/>
  <c r="AS18" i="3"/>
  <c r="AS23" i="3"/>
  <c r="AS16" i="3"/>
  <c r="AS19" i="3"/>
  <c r="AP58" i="3"/>
  <c r="E36" i="2"/>
  <c r="E48" i="2" s="1"/>
  <c r="AP61" i="3"/>
  <c r="E39" i="2"/>
  <c r="E51" i="2" s="1"/>
  <c r="AP57" i="3"/>
  <c r="E35" i="2"/>
  <c r="E47" i="2" s="1"/>
  <c r="AP56" i="3"/>
  <c r="E34" i="2"/>
  <c r="E46" i="2" s="1"/>
  <c r="F31" i="2"/>
  <c r="AP60" i="3"/>
  <c r="E38" i="2"/>
  <c r="E50" i="2" s="1"/>
  <c r="AP59" i="3"/>
  <c r="E37" i="2"/>
  <c r="E49" i="2" s="1"/>
  <c r="R34" i="2"/>
  <c r="R31" i="2"/>
  <c r="R33" i="2"/>
  <c r="R32" i="2"/>
  <c r="AP77" i="3"/>
  <c r="E45" i="2"/>
  <c r="AQ77" i="3"/>
  <c r="F30" i="2"/>
  <c r="E43" i="2"/>
  <c r="E24" i="3"/>
  <c r="AQ72" i="3"/>
  <c r="AQ68" i="3"/>
  <c r="AQ70" i="3"/>
  <c r="AQ73" i="3"/>
  <c r="AQ71" i="3"/>
  <c r="AQ67" i="3"/>
  <c r="AQ66" i="3"/>
  <c r="AQ69" i="3"/>
  <c r="AR85" i="3"/>
  <c r="AR81" i="3"/>
  <c r="AR84" i="3"/>
  <c r="AR82" i="3"/>
  <c r="AR78" i="3"/>
  <c r="AR83" i="3"/>
  <c r="AR79" i="3"/>
  <c r="AR80" i="3"/>
  <c r="E42" i="2"/>
  <c r="AP76" i="3"/>
  <c r="AP53" i="3"/>
  <c r="AQ84" i="3"/>
  <c r="AQ80" i="3"/>
  <c r="AQ85" i="3"/>
  <c r="AQ81" i="3"/>
  <c r="AQ83" i="3"/>
  <c r="AQ82" i="3"/>
  <c r="AQ78" i="3"/>
  <c r="AQ79" i="3"/>
  <c r="S29" i="2"/>
  <c r="R30" i="2"/>
  <c r="G33" i="2"/>
  <c r="G32" i="2"/>
  <c r="AQ12" i="3"/>
  <c r="AQ13" i="3"/>
  <c r="AQ10" i="3"/>
  <c r="AQ11" i="3"/>
  <c r="AQ7" i="3"/>
  <c r="AQ55" i="3" s="1"/>
  <c r="AQ8" i="3"/>
  <c r="AQ6" i="3"/>
  <c r="AQ54" i="3" s="1"/>
  <c r="AQ9" i="3"/>
  <c r="F32" i="2"/>
  <c r="F33" i="2"/>
  <c r="G31" i="2"/>
  <c r="AQ4" i="3"/>
  <c r="AQ52" i="3" s="1"/>
  <c r="AQ5" i="3"/>
  <c r="E20" i="3"/>
  <c r="E22" i="3"/>
  <c r="AQ64" i="3"/>
  <c r="AQ65" i="3"/>
  <c r="AU37" i="3" l="1"/>
  <c r="AU28" i="3"/>
  <c r="AU34" i="3"/>
  <c r="AU30" i="3"/>
  <c r="AU36" i="3"/>
  <c r="AU29" i="3"/>
  <c r="AU35" i="3"/>
  <c r="AU32" i="3"/>
  <c r="AU31" i="3"/>
  <c r="AU33" i="3"/>
  <c r="L12" i="3"/>
  <c r="AT24" i="3"/>
  <c r="AT17" i="3"/>
  <c r="AT20" i="3"/>
  <c r="AT22" i="3"/>
  <c r="AT18" i="3"/>
  <c r="AT19" i="3"/>
  <c r="K9" i="3"/>
  <c r="D84" i="12" s="1"/>
  <c r="AT16" i="3"/>
  <c r="AT21" i="3"/>
  <c r="AT23" i="3"/>
  <c r="AQ59" i="3"/>
  <c r="F37" i="2"/>
  <c r="F49" i="2" s="1"/>
  <c r="AQ58" i="3"/>
  <c r="F36" i="2"/>
  <c r="F48" i="2" s="1"/>
  <c r="S34" i="2"/>
  <c r="S31" i="2"/>
  <c r="S33" i="2"/>
  <c r="S32" i="2"/>
  <c r="AQ57" i="3"/>
  <c r="F35" i="2"/>
  <c r="F47" i="2" s="1"/>
  <c r="AQ61" i="3"/>
  <c r="F39" i="2"/>
  <c r="F51" i="2" s="1"/>
  <c r="AQ60" i="3"/>
  <c r="F38" i="2"/>
  <c r="F50" i="2" s="1"/>
  <c r="AQ56" i="3"/>
  <c r="F34" i="2"/>
  <c r="F46" i="2" s="1"/>
  <c r="AQ76" i="3"/>
  <c r="E44" i="2"/>
  <c r="AR77" i="3"/>
  <c r="AR72" i="3"/>
  <c r="AR71" i="3"/>
  <c r="AR66" i="3"/>
  <c r="AR69" i="3"/>
  <c r="F42" i="2"/>
  <c r="F43" i="2"/>
  <c r="AQ53" i="3"/>
  <c r="G30" i="2"/>
  <c r="AR76" i="3"/>
  <c r="AS82" i="3"/>
  <c r="AS78" i="3"/>
  <c r="AS83" i="3"/>
  <c r="AS79" i="3"/>
  <c r="AS81" i="3"/>
  <c r="AS84" i="3"/>
  <c r="AS80" i="3"/>
  <c r="AS85" i="3"/>
  <c r="T29" i="2"/>
  <c r="S30" i="2"/>
  <c r="AR12" i="3"/>
  <c r="AR13" i="3"/>
  <c r="AR10" i="3"/>
  <c r="AR6" i="3"/>
  <c r="AR54" i="3" s="1"/>
  <c r="AR11" i="3"/>
  <c r="AR7" i="3"/>
  <c r="AR55" i="3" s="1"/>
  <c r="AR9" i="3"/>
  <c r="AR8" i="3"/>
  <c r="H32" i="2"/>
  <c r="H33" i="2"/>
  <c r="AR5" i="3"/>
  <c r="AR4" i="3"/>
  <c r="AR52" i="3" s="1"/>
  <c r="AR65" i="3"/>
  <c r="AR64" i="3"/>
  <c r="F24" i="3"/>
  <c r="H31" i="2"/>
  <c r="AV34" i="3" l="1"/>
  <c r="AV35" i="3"/>
  <c r="AV37" i="3"/>
  <c r="AV31" i="3"/>
  <c r="AV29" i="3"/>
  <c r="AV28" i="3"/>
  <c r="AV33" i="3"/>
  <c r="AV36" i="3"/>
  <c r="AV30" i="3"/>
  <c r="AV32" i="3"/>
  <c r="M12" i="3"/>
  <c r="AU23" i="3"/>
  <c r="AU16" i="3"/>
  <c r="AU18" i="3"/>
  <c r="AU24" i="3"/>
  <c r="L9" i="3"/>
  <c r="AU17" i="3"/>
  <c r="AU22" i="3"/>
  <c r="AU20" i="3"/>
  <c r="AU21" i="3"/>
  <c r="AU19" i="3"/>
  <c r="AR59" i="3"/>
  <c r="G37" i="2"/>
  <c r="G49" i="2" s="1"/>
  <c r="T32" i="2"/>
  <c r="T34" i="2"/>
  <c r="T31" i="2"/>
  <c r="T33" i="2"/>
  <c r="AR58" i="3"/>
  <c r="G36" i="2"/>
  <c r="G48" i="2" s="1"/>
  <c r="AR56" i="3"/>
  <c r="G34" i="2"/>
  <c r="G46" i="2" s="1"/>
  <c r="AR61" i="3"/>
  <c r="G39" i="2"/>
  <c r="G51" i="2" s="1"/>
  <c r="AR57" i="3"/>
  <c r="G35" i="2"/>
  <c r="G47" i="2" s="1"/>
  <c r="AR60" i="3"/>
  <c r="G38" i="2"/>
  <c r="G50" i="2" s="1"/>
  <c r="F45" i="2"/>
  <c r="G45" i="2" s="1"/>
  <c r="AS77" i="3"/>
  <c r="F44" i="2"/>
  <c r="G44" i="2" s="1"/>
  <c r="AS70" i="3"/>
  <c r="AS73" i="3"/>
  <c r="AS69" i="3"/>
  <c r="AS68" i="3"/>
  <c r="AS67" i="3"/>
  <c r="AR73" i="3"/>
  <c r="AR70" i="3"/>
  <c r="AR68" i="3"/>
  <c r="AR67" i="3"/>
  <c r="G42" i="2"/>
  <c r="H30" i="2"/>
  <c r="AS76" i="3"/>
  <c r="G43" i="2"/>
  <c r="AR53" i="3"/>
  <c r="AT83" i="3"/>
  <c r="AT79" i="3"/>
  <c r="AT84" i="3"/>
  <c r="AT80" i="3"/>
  <c r="AT85" i="3"/>
  <c r="AT81" i="3"/>
  <c r="AT82" i="3"/>
  <c r="AT78" i="3"/>
  <c r="T30" i="2"/>
  <c r="U29" i="2"/>
  <c r="I32" i="2"/>
  <c r="I33" i="2"/>
  <c r="AS12" i="3"/>
  <c r="AS9" i="3"/>
  <c r="AS13" i="3"/>
  <c r="AS10" i="3"/>
  <c r="AS6" i="3"/>
  <c r="AS54" i="3" s="1"/>
  <c r="AS8" i="3"/>
  <c r="AS7" i="3"/>
  <c r="AS55" i="3" s="1"/>
  <c r="AS11" i="3"/>
  <c r="F20" i="3"/>
  <c r="AS5" i="3"/>
  <c r="AS4" i="3"/>
  <c r="AS52" i="3" s="1"/>
  <c r="AS64" i="3"/>
  <c r="AS65" i="3"/>
  <c r="F22" i="3"/>
  <c r="I31" i="2"/>
  <c r="AV19" i="3" l="1"/>
  <c r="AV24" i="3"/>
  <c r="AV22" i="3"/>
  <c r="AV17" i="3"/>
  <c r="AV16" i="3"/>
  <c r="AV20" i="3"/>
  <c r="M9" i="3"/>
  <c r="AV21" i="3"/>
  <c r="AV23" i="3"/>
  <c r="AV18" i="3"/>
  <c r="AW35" i="3"/>
  <c r="AW32" i="3"/>
  <c r="AW34" i="3"/>
  <c r="AW28" i="3"/>
  <c r="AW30" i="3"/>
  <c r="AW31" i="3"/>
  <c r="AW37" i="3"/>
  <c r="AW36" i="3"/>
  <c r="AW33" i="3"/>
  <c r="AW29" i="3"/>
  <c r="N12" i="3"/>
  <c r="AS60" i="3"/>
  <c r="H38" i="2"/>
  <c r="H50" i="2" s="1"/>
  <c r="AS56" i="3"/>
  <c r="H34" i="2"/>
  <c r="H46" i="2" s="1"/>
  <c r="AS58" i="3"/>
  <c r="H36" i="2"/>
  <c r="H48" i="2" s="1"/>
  <c r="U32" i="2"/>
  <c r="U34" i="2"/>
  <c r="U31" i="2"/>
  <c r="U33" i="2"/>
  <c r="AS61" i="3"/>
  <c r="H39" i="2"/>
  <c r="H51" i="2" s="1"/>
  <c r="AS59" i="3"/>
  <c r="H37" i="2"/>
  <c r="H49" i="2" s="1"/>
  <c r="AS57" i="3"/>
  <c r="H35" i="2"/>
  <c r="H47" i="2" s="1"/>
  <c r="H45" i="2"/>
  <c r="AT77" i="3"/>
  <c r="H44" i="2"/>
  <c r="AS71" i="3"/>
  <c r="AT70" i="3"/>
  <c r="AT66" i="3"/>
  <c r="AT72" i="3"/>
  <c r="AT71" i="3"/>
  <c r="AS66" i="3"/>
  <c r="AS72" i="3"/>
  <c r="H42" i="2"/>
  <c r="I30" i="2"/>
  <c r="AT76" i="3"/>
  <c r="H43" i="2"/>
  <c r="AS53" i="3"/>
  <c r="AU84" i="3"/>
  <c r="AU80" i="3"/>
  <c r="AU83" i="3"/>
  <c r="AU85" i="3"/>
  <c r="AU81" i="3"/>
  <c r="AU82" i="3"/>
  <c r="AU78" i="3"/>
  <c r="AU79" i="3"/>
  <c r="V29" i="2"/>
  <c r="U30" i="2"/>
  <c r="J32" i="2"/>
  <c r="J33" i="2"/>
  <c r="AT13" i="3"/>
  <c r="AT11" i="3"/>
  <c r="AT8" i="3"/>
  <c r="AT12" i="3"/>
  <c r="AT9" i="3"/>
  <c r="AT7" i="3"/>
  <c r="AT55" i="3" s="1"/>
  <c r="AT6" i="3"/>
  <c r="AT54" i="3" s="1"/>
  <c r="AT10" i="3"/>
  <c r="J31" i="2"/>
  <c r="AT64" i="3"/>
  <c r="AT65" i="3"/>
  <c r="AT4" i="3"/>
  <c r="AT52" i="3" s="1"/>
  <c r="AT5" i="3"/>
  <c r="AX33" i="3" l="1"/>
  <c r="AX36" i="3"/>
  <c r="AX29" i="3"/>
  <c r="AX35" i="3"/>
  <c r="AX28" i="3"/>
  <c r="AX34" i="3"/>
  <c r="AX31" i="3"/>
  <c r="AX30" i="3"/>
  <c r="AX32" i="3"/>
  <c r="AX37" i="3"/>
  <c r="O12" i="3"/>
  <c r="AW20" i="3"/>
  <c r="AW18" i="3"/>
  <c r="AW23" i="3"/>
  <c r="AW17" i="3"/>
  <c r="AW19" i="3"/>
  <c r="AW16" i="3"/>
  <c r="N9" i="3"/>
  <c r="AW22" i="3"/>
  <c r="AW24" i="3"/>
  <c r="AW21" i="3"/>
  <c r="AT57" i="3"/>
  <c r="I35" i="2"/>
  <c r="I47" i="2" s="1"/>
  <c r="AT61" i="3"/>
  <c r="I39" i="2"/>
  <c r="I51" i="2" s="1"/>
  <c r="AT60" i="3"/>
  <c r="I38" i="2"/>
  <c r="I50" i="2" s="1"/>
  <c r="AT56" i="3"/>
  <c r="I34" i="2"/>
  <c r="I46" i="2" s="1"/>
  <c r="V33" i="2"/>
  <c r="V32" i="2"/>
  <c r="V34" i="2"/>
  <c r="V31" i="2"/>
  <c r="AT58" i="3"/>
  <c r="I36" i="2"/>
  <c r="I48" i="2" s="1"/>
  <c r="AT59" i="3"/>
  <c r="I37" i="2"/>
  <c r="I49" i="2" s="1"/>
  <c r="I45" i="2"/>
  <c r="AU77" i="3"/>
  <c r="I44" i="2"/>
  <c r="AT73" i="3"/>
  <c r="AU71" i="3"/>
  <c r="AU67" i="3"/>
  <c r="AU73" i="3"/>
  <c r="AU70" i="3"/>
  <c r="AU66" i="3"/>
  <c r="AU69" i="3"/>
  <c r="AU68" i="3"/>
  <c r="AT69" i="3"/>
  <c r="AT67" i="3"/>
  <c r="AT68" i="3"/>
  <c r="I42" i="2"/>
  <c r="I43" i="2"/>
  <c r="AT53" i="3"/>
  <c r="AV85" i="3"/>
  <c r="BK85" i="3" s="1"/>
  <c r="P20" i="2" s="1"/>
  <c r="AV81" i="3"/>
  <c r="BK81" i="3" s="1"/>
  <c r="L20" i="2" s="1"/>
  <c r="AV82" i="3"/>
  <c r="BK82" i="3" s="1"/>
  <c r="M20" i="2" s="1"/>
  <c r="AV78" i="3"/>
  <c r="BK78" i="3" s="1"/>
  <c r="I20" i="2" s="1"/>
  <c r="F8" i="2" s="1"/>
  <c r="I34" i="12" s="1"/>
  <c r="AV84" i="3"/>
  <c r="BK84" i="3" s="1"/>
  <c r="O20" i="2" s="1"/>
  <c r="AV80" i="3"/>
  <c r="BK80" i="3" s="1"/>
  <c r="K20" i="2" s="1"/>
  <c r="AV83" i="3"/>
  <c r="BK83" i="3" s="1"/>
  <c r="N20" i="2" s="1"/>
  <c r="AV79" i="3"/>
  <c r="BK79" i="3" s="1"/>
  <c r="J20" i="2" s="1"/>
  <c r="J30" i="2"/>
  <c r="AU76" i="3"/>
  <c r="W29" i="2"/>
  <c r="V30" i="2"/>
  <c r="BK35" i="3"/>
  <c r="O23" i="3" s="1"/>
  <c r="N14" i="2" s="1"/>
  <c r="BK36" i="3"/>
  <c r="P23" i="3" s="1"/>
  <c r="O14" i="2" s="1"/>
  <c r="BK32" i="3"/>
  <c r="L23" i="3" s="1"/>
  <c r="K14" i="2" s="1"/>
  <c r="BK37" i="3"/>
  <c r="Q23" i="3" s="1"/>
  <c r="P14" i="2" s="1"/>
  <c r="BK33" i="3"/>
  <c r="M23" i="3" s="1"/>
  <c r="L14" i="2" s="1"/>
  <c r="BK34" i="3"/>
  <c r="N23" i="3" s="1"/>
  <c r="M14" i="2" s="1"/>
  <c r="AU12" i="3"/>
  <c r="AU13" i="3"/>
  <c r="AU10" i="3"/>
  <c r="AU11" i="3"/>
  <c r="AU7" i="3"/>
  <c r="AU55" i="3" s="1"/>
  <c r="AU8" i="3"/>
  <c r="AU9" i="3"/>
  <c r="AU6" i="3"/>
  <c r="AU54" i="3" s="1"/>
  <c r="AU65" i="3"/>
  <c r="AU64" i="3"/>
  <c r="AU4" i="3"/>
  <c r="AU52" i="3" s="1"/>
  <c r="AU5" i="3"/>
  <c r="K31" i="2"/>
  <c r="I68" i="12" l="1"/>
  <c r="I69" i="12" s="1"/>
  <c r="I67" i="12"/>
  <c r="AX20" i="3"/>
  <c r="AX17" i="3"/>
  <c r="AX24" i="3"/>
  <c r="AX22" i="3"/>
  <c r="AX19" i="3"/>
  <c r="AX18" i="3"/>
  <c r="AX23" i="3"/>
  <c r="O9" i="3"/>
  <c r="AX16" i="3"/>
  <c r="AX21" i="3"/>
  <c r="AY37" i="3"/>
  <c r="AY32" i="3"/>
  <c r="AY36" i="3"/>
  <c r="AY28" i="3"/>
  <c r="AY35" i="3"/>
  <c r="AY33" i="3"/>
  <c r="AY30" i="3"/>
  <c r="AY31" i="3"/>
  <c r="AY29" i="3"/>
  <c r="AY34" i="3"/>
  <c r="P12" i="3"/>
  <c r="BK30" i="3"/>
  <c r="J23" i="3" s="1"/>
  <c r="I14" i="2" s="1"/>
  <c r="K32" i="2"/>
  <c r="BK31" i="3"/>
  <c r="K23" i="3" s="1"/>
  <c r="J14" i="2" s="1"/>
  <c r="K33" i="2"/>
  <c r="AU59" i="3"/>
  <c r="J37" i="2"/>
  <c r="J49" i="2" s="1"/>
  <c r="AU56" i="3"/>
  <c r="J34" i="2"/>
  <c r="J46" i="2" s="1"/>
  <c r="W33" i="2"/>
  <c r="W32" i="2"/>
  <c r="W34" i="2"/>
  <c r="W31" i="2"/>
  <c r="AU61" i="3"/>
  <c r="J39" i="2"/>
  <c r="J51" i="2" s="1"/>
  <c r="AU58" i="3"/>
  <c r="J36" i="2"/>
  <c r="J48" i="2" s="1"/>
  <c r="AU57" i="3"/>
  <c r="J35" i="2"/>
  <c r="J47" i="2" s="1"/>
  <c r="AU60" i="3"/>
  <c r="J38" i="2"/>
  <c r="J50" i="2" s="1"/>
  <c r="J45" i="2"/>
  <c r="AV77" i="3"/>
  <c r="J44" i="2"/>
  <c r="AV73" i="3"/>
  <c r="AV69" i="3"/>
  <c r="AV66" i="3"/>
  <c r="AV72" i="3"/>
  <c r="AU72" i="3"/>
  <c r="J42" i="2"/>
  <c r="AW82" i="3"/>
  <c r="AW78" i="3"/>
  <c r="AW85" i="3"/>
  <c r="AW81" i="3"/>
  <c r="AW83" i="3"/>
  <c r="AW79" i="3"/>
  <c r="AW84" i="3"/>
  <c r="AW80" i="3"/>
  <c r="J43" i="2"/>
  <c r="AU53" i="3"/>
  <c r="AV76" i="3"/>
  <c r="X29" i="2"/>
  <c r="W30" i="2"/>
  <c r="BK28" i="3"/>
  <c r="K30" i="2"/>
  <c r="AV12" i="3"/>
  <c r="K38" i="2" s="1"/>
  <c r="AV13" i="3"/>
  <c r="K39" i="2" s="1"/>
  <c r="AV10" i="3"/>
  <c r="K36" i="2" s="1"/>
  <c r="AV6" i="3"/>
  <c r="AV11" i="3"/>
  <c r="K37" i="2" s="1"/>
  <c r="AV7" i="3"/>
  <c r="AV8" i="3"/>
  <c r="K34" i="2" s="1"/>
  <c r="AV9" i="3"/>
  <c r="K35" i="2" s="1"/>
  <c r="AV65" i="3"/>
  <c r="AW77" i="3"/>
  <c r="AW76" i="3"/>
  <c r="AV5" i="3"/>
  <c r="AV4" i="3"/>
  <c r="AZ35" i="3" l="1"/>
  <c r="AZ37" i="3"/>
  <c r="AZ31" i="3"/>
  <c r="AZ33" i="3"/>
  <c r="AZ29" i="3"/>
  <c r="AZ36" i="3"/>
  <c r="AZ34" i="3"/>
  <c r="AZ32" i="3"/>
  <c r="AZ30" i="3"/>
  <c r="AZ28" i="3"/>
  <c r="Q12" i="3"/>
  <c r="AY24" i="3"/>
  <c r="AY16" i="3"/>
  <c r="AY19" i="3"/>
  <c r="AY18" i="3"/>
  <c r="P9" i="3"/>
  <c r="AY20" i="3"/>
  <c r="AY21" i="3"/>
  <c r="AY22" i="3"/>
  <c r="AY17" i="3"/>
  <c r="AY23" i="3"/>
  <c r="K50" i="2"/>
  <c r="K48" i="2"/>
  <c r="K46" i="2"/>
  <c r="L46" i="2" s="1"/>
  <c r="M46" i="2" s="1"/>
  <c r="N46" i="2" s="1"/>
  <c r="O46" i="2" s="1"/>
  <c r="P46" i="2" s="1"/>
  <c r="Q46" i="2" s="1"/>
  <c r="R46" i="2" s="1"/>
  <c r="S46" i="2" s="1"/>
  <c r="T46" i="2" s="1"/>
  <c r="U46" i="2" s="1"/>
  <c r="V46" i="2" s="1"/>
  <c r="W46" i="2" s="1"/>
  <c r="K47" i="2"/>
  <c r="K51" i="2"/>
  <c r="K49" i="2"/>
  <c r="X34" i="2"/>
  <c r="X31" i="2"/>
  <c r="X33" i="2"/>
  <c r="X32" i="2"/>
  <c r="BK25" i="3"/>
  <c r="Q21" i="3" s="1"/>
  <c r="P13" i="2" s="1"/>
  <c r="K45" i="2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BK21" i="3"/>
  <c r="M21" i="3" s="1"/>
  <c r="L13" i="2" s="1"/>
  <c r="BK24" i="3"/>
  <c r="P21" i="3" s="1"/>
  <c r="O13" i="2" s="1"/>
  <c r="K42" i="2"/>
  <c r="L42" i="2" s="1"/>
  <c r="M42" i="2" s="1"/>
  <c r="N42" i="2" s="1"/>
  <c r="O42" i="2" s="1"/>
  <c r="P42" i="2" s="1"/>
  <c r="Q42" i="2" s="1"/>
  <c r="R42" i="2" s="1"/>
  <c r="S42" i="2" s="1"/>
  <c r="T42" i="2" s="1"/>
  <c r="U42" i="2" s="1"/>
  <c r="V42" i="2" s="1"/>
  <c r="W42" i="2" s="1"/>
  <c r="K44" i="2"/>
  <c r="L44" i="2" s="1"/>
  <c r="M44" i="2" s="1"/>
  <c r="N44" i="2" s="1"/>
  <c r="O44" i="2" s="1"/>
  <c r="P44" i="2" s="1"/>
  <c r="Q44" i="2" s="1"/>
  <c r="R44" i="2" s="1"/>
  <c r="S44" i="2" s="1"/>
  <c r="T44" i="2" s="1"/>
  <c r="U44" i="2" s="1"/>
  <c r="V44" i="2" s="1"/>
  <c r="W44" i="2" s="1"/>
  <c r="BK9" i="3"/>
  <c r="AV57" i="3"/>
  <c r="BK6" i="3"/>
  <c r="AV54" i="3"/>
  <c r="BK8" i="3"/>
  <c r="AV56" i="3"/>
  <c r="BK18" i="3"/>
  <c r="J21" i="3" s="1"/>
  <c r="I13" i="2" s="1"/>
  <c r="AV71" i="3"/>
  <c r="BK23" i="3"/>
  <c r="O21" i="3" s="1"/>
  <c r="N13" i="2" s="1"/>
  <c r="BK7" i="3"/>
  <c r="AV55" i="3"/>
  <c r="BK13" i="3"/>
  <c r="AV61" i="3"/>
  <c r="AV68" i="3"/>
  <c r="BK20" i="3"/>
  <c r="L21" i="3" s="1"/>
  <c r="K13" i="2" s="1"/>
  <c r="AW70" i="3"/>
  <c r="AW67" i="3"/>
  <c r="AW73" i="3"/>
  <c r="AW69" i="3"/>
  <c r="AW66" i="3"/>
  <c r="AW72" i="3"/>
  <c r="AW68" i="3"/>
  <c r="AW71" i="3"/>
  <c r="BK11" i="3"/>
  <c r="AV59" i="3"/>
  <c r="BK12" i="3"/>
  <c r="AV60" i="3"/>
  <c r="AV70" i="3"/>
  <c r="BK22" i="3"/>
  <c r="N21" i="3" s="1"/>
  <c r="M13" i="2" s="1"/>
  <c r="AV67" i="3"/>
  <c r="BK19" i="3"/>
  <c r="K21" i="3" s="1"/>
  <c r="J13" i="2" s="1"/>
  <c r="BK10" i="3"/>
  <c r="AV58" i="3"/>
  <c r="AX83" i="3"/>
  <c r="AX79" i="3"/>
  <c r="AX82" i="3"/>
  <c r="AX84" i="3"/>
  <c r="AX80" i="3"/>
  <c r="AX85" i="3"/>
  <c r="AX81" i="3"/>
  <c r="AX78" i="3"/>
  <c r="K43" i="2"/>
  <c r="L43" i="2" s="1"/>
  <c r="M43" i="2" s="1"/>
  <c r="N43" i="2" s="1"/>
  <c r="O43" i="2" s="1"/>
  <c r="P43" i="2" s="1"/>
  <c r="Q43" i="2" s="1"/>
  <c r="R43" i="2" s="1"/>
  <c r="S43" i="2" s="1"/>
  <c r="T43" i="2" s="1"/>
  <c r="U43" i="2" s="1"/>
  <c r="V43" i="2" s="1"/>
  <c r="W43" i="2" s="1"/>
  <c r="AV53" i="3"/>
  <c r="AV64" i="3"/>
  <c r="BK4" i="3"/>
  <c r="AV52" i="3"/>
  <c r="Y29" i="2"/>
  <c r="X30" i="2"/>
  <c r="AW12" i="3"/>
  <c r="AW9" i="3"/>
  <c r="AW10" i="3"/>
  <c r="AW6" i="3"/>
  <c r="AW54" i="3" s="1"/>
  <c r="AW7" i="3"/>
  <c r="AW55" i="3" s="1"/>
  <c r="AW8" i="3"/>
  <c r="AW56" i="3" s="1"/>
  <c r="AW11" i="3"/>
  <c r="AW13" i="3"/>
  <c r="AW5" i="3"/>
  <c r="AW53" i="3" s="1"/>
  <c r="AW4" i="3"/>
  <c r="AW52" i="3" s="1"/>
  <c r="AX76" i="3"/>
  <c r="G24" i="3"/>
  <c r="AW64" i="3"/>
  <c r="AW65" i="3"/>
  <c r="BA36" i="3" l="1"/>
  <c r="BA35" i="3"/>
  <c r="BA32" i="3"/>
  <c r="BA34" i="3"/>
  <c r="BA28" i="3"/>
  <c r="BA37" i="3"/>
  <c r="BA30" i="3"/>
  <c r="BA33" i="3"/>
  <c r="BA31" i="3"/>
  <c r="BA29" i="3"/>
  <c r="R12" i="3"/>
  <c r="AZ23" i="3"/>
  <c r="AZ17" i="3"/>
  <c r="AZ19" i="3"/>
  <c r="AZ21" i="3"/>
  <c r="AZ22" i="3"/>
  <c r="AZ16" i="3"/>
  <c r="AZ24" i="3"/>
  <c r="AZ18" i="3"/>
  <c r="AZ20" i="3"/>
  <c r="Q9" i="3"/>
  <c r="X46" i="2"/>
  <c r="AW61" i="3"/>
  <c r="L39" i="2"/>
  <c r="L51" i="2" s="1"/>
  <c r="AW59" i="3"/>
  <c r="L37" i="2"/>
  <c r="L49" i="2" s="1"/>
  <c r="AW60" i="3"/>
  <c r="L38" i="2"/>
  <c r="L50" i="2" s="1"/>
  <c r="Y34" i="2"/>
  <c r="Y31" i="2"/>
  <c r="Y33" i="2"/>
  <c r="Y32" i="2"/>
  <c r="AW57" i="3"/>
  <c r="L35" i="2"/>
  <c r="L47" i="2" s="1"/>
  <c r="AW58" i="3"/>
  <c r="L36" i="2"/>
  <c r="L48" i="2" s="1"/>
  <c r="X45" i="2"/>
  <c r="X44" i="2"/>
  <c r="AX70" i="3"/>
  <c r="AX66" i="3"/>
  <c r="AX73" i="3"/>
  <c r="AX69" i="3"/>
  <c r="AX72" i="3"/>
  <c r="AX68" i="3"/>
  <c r="AX71" i="3"/>
  <c r="AX67" i="3"/>
  <c r="AY84" i="3"/>
  <c r="AY80" i="3"/>
  <c r="AY85" i="3"/>
  <c r="AY81" i="3"/>
  <c r="AY83" i="3"/>
  <c r="AY82" i="3"/>
  <c r="AY78" i="3"/>
  <c r="AY79" i="3"/>
  <c r="BK29" i="3"/>
  <c r="AX77" i="3"/>
  <c r="X43" i="2"/>
  <c r="X42" i="2"/>
  <c r="Y30" i="2"/>
  <c r="D85" i="1"/>
  <c r="AX13" i="3"/>
  <c r="AX11" i="3"/>
  <c r="AX8" i="3"/>
  <c r="AX56" i="3" s="1"/>
  <c r="AX9" i="3"/>
  <c r="AX12" i="3"/>
  <c r="AX6" i="3"/>
  <c r="AX54" i="3" s="1"/>
  <c r="AX10" i="3"/>
  <c r="AX7" i="3"/>
  <c r="AX55" i="3" s="1"/>
  <c r="G20" i="3"/>
  <c r="AX5" i="3"/>
  <c r="AX4" i="3"/>
  <c r="AX52" i="3" s="1"/>
  <c r="G22" i="3"/>
  <c r="AX64" i="3"/>
  <c r="BB33" i="3" l="1"/>
  <c r="BB36" i="3"/>
  <c r="BB29" i="3"/>
  <c r="BB35" i="3"/>
  <c r="BB31" i="3"/>
  <c r="BB34" i="3"/>
  <c r="BB32" i="3"/>
  <c r="BB30" i="3"/>
  <c r="BB28" i="3"/>
  <c r="BB37" i="3"/>
  <c r="S12" i="3"/>
  <c r="BA20" i="3"/>
  <c r="BA18" i="3"/>
  <c r="BA23" i="3"/>
  <c r="BA21" i="3"/>
  <c r="BA19" i="3"/>
  <c r="BA17" i="3"/>
  <c r="R9" i="3"/>
  <c r="BA16" i="3"/>
  <c r="BA24" i="3"/>
  <c r="BA22" i="3"/>
  <c r="Y46" i="2"/>
  <c r="AX58" i="3"/>
  <c r="M36" i="2"/>
  <c r="M48" i="2" s="1"/>
  <c r="AX57" i="3"/>
  <c r="M35" i="2"/>
  <c r="M47" i="2" s="1"/>
  <c r="AX61" i="3"/>
  <c r="M39" i="2"/>
  <c r="M51" i="2" s="1"/>
  <c r="AX60" i="3"/>
  <c r="M38" i="2"/>
  <c r="M50" i="2" s="1"/>
  <c r="AX59" i="3"/>
  <c r="M37" i="2"/>
  <c r="M49" i="2" s="1"/>
  <c r="Y45" i="2"/>
  <c r="Y44" i="2"/>
  <c r="D84" i="1"/>
  <c r="AY70" i="3"/>
  <c r="AY66" i="3"/>
  <c r="AY73" i="3"/>
  <c r="AY69" i="3"/>
  <c r="AY72" i="3"/>
  <c r="AY68" i="3"/>
  <c r="AY71" i="3"/>
  <c r="AY67" i="3"/>
  <c r="I23" i="3"/>
  <c r="H14" i="2" s="1"/>
  <c r="AY77" i="3"/>
  <c r="BK5" i="3"/>
  <c r="AX53" i="3"/>
  <c r="AZ85" i="3"/>
  <c r="AZ81" i="3"/>
  <c r="AZ80" i="3"/>
  <c r="AZ82" i="3"/>
  <c r="AZ78" i="3"/>
  <c r="AZ83" i="3"/>
  <c r="AZ79" i="3"/>
  <c r="AZ84" i="3"/>
  <c r="BK17" i="3"/>
  <c r="AX65" i="3"/>
  <c r="H23" i="3"/>
  <c r="AY76" i="3"/>
  <c r="Y43" i="2"/>
  <c r="Y42" i="2"/>
  <c r="AY12" i="3"/>
  <c r="N38" i="2" s="1"/>
  <c r="AY13" i="3"/>
  <c r="N39" i="2" s="1"/>
  <c r="AY10" i="3"/>
  <c r="N36" i="2" s="1"/>
  <c r="AY11" i="3"/>
  <c r="N37" i="2" s="1"/>
  <c r="AY7" i="3"/>
  <c r="AY8" i="3"/>
  <c r="AY6" i="3"/>
  <c r="AY9" i="3"/>
  <c r="N35" i="2" s="1"/>
  <c r="D83" i="1"/>
  <c r="AZ76" i="3"/>
  <c r="AZ77" i="3"/>
  <c r="AY64" i="3"/>
  <c r="AY4" i="3"/>
  <c r="AY5" i="3"/>
  <c r="BB20" i="3" l="1"/>
  <c r="BB23" i="3"/>
  <c r="BB17" i="3"/>
  <c r="BB19" i="3"/>
  <c r="S9" i="3"/>
  <c r="BB16" i="3"/>
  <c r="BB21" i="3"/>
  <c r="BB18" i="3"/>
  <c r="BB24" i="3"/>
  <c r="BB22" i="3"/>
  <c r="BC30" i="3"/>
  <c r="BC37" i="3"/>
  <c r="BC32" i="3"/>
  <c r="BC36" i="3"/>
  <c r="BC28" i="3"/>
  <c r="BC35" i="3"/>
  <c r="BC29" i="3"/>
  <c r="BC31" i="3"/>
  <c r="BC33" i="3"/>
  <c r="BC34" i="3"/>
  <c r="T12" i="3"/>
  <c r="N49" i="2"/>
  <c r="N51" i="2"/>
  <c r="N47" i="2"/>
  <c r="N50" i="2"/>
  <c r="N48" i="2"/>
  <c r="G14" i="2"/>
  <c r="M19" i="3"/>
  <c r="L12" i="2" s="1"/>
  <c r="AY57" i="3"/>
  <c r="O19" i="3"/>
  <c r="N12" i="2" s="1"/>
  <c r="AY59" i="3"/>
  <c r="K19" i="3"/>
  <c r="J12" i="2" s="1"/>
  <c r="AY55" i="3"/>
  <c r="P19" i="3"/>
  <c r="O12" i="2" s="1"/>
  <c r="AY60" i="3"/>
  <c r="J19" i="3"/>
  <c r="I12" i="2" s="1"/>
  <c r="AY54" i="3"/>
  <c r="N19" i="3"/>
  <c r="M12" i="2" s="1"/>
  <c r="AY58" i="3"/>
  <c r="AZ70" i="3"/>
  <c r="AZ66" i="3"/>
  <c r="AZ73" i="3"/>
  <c r="AZ69" i="3"/>
  <c r="AZ72" i="3"/>
  <c r="AZ68" i="3"/>
  <c r="AZ67" i="3"/>
  <c r="AZ71" i="3"/>
  <c r="L19" i="3"/>
  <c r="K12" i="2" s="1"/>
  <c r="AY56" i="3"/>
  <c r="Q19" i="3"/>
  <c r="P12" i="2" s="1"/>
  <c r="AY61" i="3"/>
  <c r="H19" i="3"/>
  <c r="G12" i="2" s="1"/>
  <c r="AY52" i="3"/>
  <c r="I21" i="3"/>
  <c r="H13" i="2" s="1"/>
  <c r="AY65" i="3"/>
  <c r="I19" i="3"/>
  <c r="H12" i="2" s="1"/>
  <c r="E7" i="2" s="1"/>
  <c r="AY53" i="3"/>
  <c r="BA85" i="3"/>
  <c r="BA82" i="3"/>
  <c r="BA78" i="3"/>
  <c r="BA83" i="3"/>
  <c r="BA79" i="3"/>
  <c r="BA84" i="3"/>
  <c r="BA80" i="3"/>
  <c r="BA81" i="3"/>
  <c r="AZ12" i="3"/>
  <c r="AZ13" i="3"/>
  <c r="AZ10" i="3"/>
  <c r="AZ6" i="3"/>
  <c r="AZ54" i="3" s="1"/>
  <c r="AZ11" i="3"/>
  <c r="AZ7" i="3"/>
  <c r="AZ55" i="3" s="1"/>
  <c r="AZ9" i="3"/>
  <c r="AZ8" i="3"/>
  <c r="AZ56" i="3" s="1"/>
  <c r="BA77" i="3"/>
  <c r="BA76" i="3"/>
  <c r="AZ65" i="3"/>
  <c r="AZ64" i="3"/>
  <c r="AZ5" i="3"/>
  <c r="AZ53" i="3" s="1"/>
  <c r="AZ4" i="3"/>
  <c r="AZ52" i="3" s="1"/>
  <c r="BC21" i="3" l="1"/>
  <c r="BC16" i="3"/>
  <c r="BC24" i="3"/>
  <c r="BC20" i="3"/>
  <c r="BC17" i="3"/>
  <c r="BC23" i="3"/>
  <c r="T9" i="3"/>
  <c r="BC18" i="3"/>
  <c r="BC22" i="3"/>
  <c r="BC19" i="3"/>
  <c r="BD37" i="3"/>
  <c r="BD31" i="3"/>
  <c r="BD29" i="3"/>
  <c r="BD35" i="3"/>
  <c r="BD33" i="3"/>
  <c r="BD34" i="3"/>
  <c r="BD30" i="3"/>
  <c r="BD36" i="3"/>
  <c r="BD32" i="3"/>
  <c r="BD28" i="3"/>
  <c r="U12" i="3"/>
  <c r="D7" i="2"/>
  <c r="D5" i="2"/>
  <c r="AZ57" i="3"/>
  <c r="O35" i="2"/>
  <c r="O47" i="2" s="1"/>
  <c r="AZ60" i="3"/>
  <c r="O38" i="2"/>
  <c r="O50" i="2" s="1"/>
  <c r="AZ61" i="3"/>
  <c r="O39" i="2"/>
  <c r="O51" i="2" s="1"/>
  <c r="AZ58" i="3"/>
  <c r="O36" i="2"/>
  <c r="O48" i="2" s="1"/>
  <c r="AZ59" i="3"/>
  <c r="O37" i="2"/>
  <c r="O49" i="2" s="1"/>
  <c r="BA64" i="3"/>
  <c r="BA65" i="3"/>
  <c r="H5" i="2"/>
  <c r="H7" i="2"/>
  <c r="G5" i="2"/>
  <c r="G7" i="2"/>
  <c r="I5" i="2"/>
  <c r="I7" i="2"/>
  <c r="M5" i="2"/>
  <c r="M7" i="2"/>
  <c r="J5" i="2"/>
  <c r="J7" i="2"/>
  <c r="L5" i="2"/>
  <c r="L7" i="2"/>
  <c r="K5" i="2"/>
  <c r="K7" i="2"/>
  <c r="F5" i="2"/>
  <c r="F7" i="2"/>
  <c r="BB70" i="3"/>
  <c r="BB66" i="3"/>
  <c r="BB73" i="3"/>
  <c r="BB69" i="3"/>
  <c r="BB72" i="3"/>
  <c r="BB68" i="3"/>
  <c r="BB71" i="3"/>
  <c r="BB67" i="3"/>
  <c r="BA70" i="3"/>
  <c r="BA66" i="3"/>
  <c r="BA73" i="3"/>
  <c r="BA69" i="3"/>
  <c r="BA72" i="3"/>
  <c r="BA68" i="3"/>
  <c r="BA71" i="3"/>
  <c r="BA67" i="3"/>
  <c r="BB65" i="3"/>
  <c r="BB64" i="3"/>
  <c r="E5" i="2"/>
  <c r="BB83" i="3"/>
  <c r="BB79" i="3"/>
  <c r="BB84" i="3"/>
  <c r="BB80" i="3"/>
  <c r="BB82" i="3"/>
  <c r="BB85" i="3"/>
  <c r="BB81" i="3"/>
  <c r="BB78" i="3"/>
  <c r="BB77" i="3"/>
  <c r="BB76" i="3"/>
  <c r="BA13" i="3"/>
  <c r="BA12" i="3"/>
  <c r="BA9" i="3"/>
  <c r="BA10" i="3"/>
  <c r="BA6" i="3"/>
  <c r="BA54" i="3" s="1"/>
  <c r="BA11" i="3"/>
  <c r="BA4" i="3"/>
  <c r="BA52" i="3" s="1"/>
  <c r="BA5" i="3"/>
  <c r="BA53" i="3" s="1"/>
  <c r="BA8" i="3"/>
  <c r="BA56" i="3" s="1"/>
  <c r="BA7" i="3"/>
  <c r="BA55" i="3" s="1"/>
  <c r="BE36" i="3" l="1"/>
  <c r="BE35" i="3"/>
  <c r="BE32" i="3"/>
  <c r="BE28" i="3"/>
  <c r="BE31" i="3"/>
  <c r="BE34" i="3"/>
  <c r="BE30" i="3"/>
  <c r="BE37" i="3"/>
  <c r="BE33" i="3"/>
  <c r="BE29" i="3"/>
  <c r="V12" i="3"/>
  <c r="BD22" i="3"/>
  <c r="BD17" i="3"/>
  <c r="BD21" i="3"/>
  <c r="BD18" i="3"/>
  <c r="U9" i="3"/>
  <c r="BD16" i="3"/>
  <c r="BD23" i="3"/>
  <c r="BD20" i="3"/>
  <c r="BD19" i="3"/>
  <c r="BD24" i="3"/>
  <c r="BA60" i="3"/>
  <c r="P38" i="2"/>
  <c r="P50" i="2" s="1"/>
  <c r="BA61" i="3"/>
  <c r="P39" i="2"/>
  <c r="P51" i="2" s="1"/>
  <c r="BA59" i="3"/>
  <c r="P37" i="2"/>
  <c r="P49" i="2" s="1"/>
  <c r="BA57" i="3"/>
  <c r="P35" i="2"/>
  <c r="P47" i="2" s="1"/>
  <c r="BA58" i="3"/>
  <c r="P36" i="2"/>
  <c r="P48" i="2" s="1"/>
  <c r="BC70" i="3"/>
  <c r="BC66" i="3"/>
  <c r="BC73" i="3"/>
  <c r="BC69" i="3"/>
  <c r="BC72" i="3"/>
  <c r="BC68" i="3"/>
  <c r="BC71" i="3"/>
  <c r="BC67" i="3"/>
  <c r="BC64" i="3"/>
  <c r="BC65" i="3"/>
  <c r="BC84" i="3"/>
  <c r="BC80" i="3"/>
  <c r="BC83" i="3"/>
  <c r="BC85" i="3"/>
  <c r="BC81" i="3"/>
  <c r="BC82" i="3"/>
  <c r="BC78" i="3"/>
  <c r="BC79" i="3"/>
  <c r="BB13" i="3"/>
  <c r="BB11" i="3"/>
  <c r="BB12" i="3"/>
  <c r="BB8" i="3"/>
  <c r="BB56" i="3" s="1"/>
  <c r="BB9" i="3"/>
  <c r="BB10" i="3"/>
  <c r="BB5" i="3"/>
  <c r="BB53" i="3" s="1"/>
  <c r="BB6" i="3"/>
  <c r="BB54" i="3" s="1"/>
  <c r="BB4" i="3"/>
  <c r="BB52" i="3" s="1"/>
  <c r="BB7" i="3"/>
  <c r="BB55" i="3" s="1"/>
  <c r="BC77" i="3"/>
  <c r="BC76" i="3"/>
  <c r="BF33" i="3" l="1"/>
  <c r="BF36" i="3"/>
  <c r="BF29" i="3"/>
  <c r="BF31" i="3"/>
  <c r="BF32" i="3"/>
  <c r="BF35" i="3"/>
  <c r="BF28" i="3"/>
  <c r="BF34" i="3"/>
  <c r="BF30" i="3"/>
  <c r="BF37" i="3"/>
  <c r="W12" i="3"/>
  <c r="BE24" i="3"/>
  <c r="BE21" i="3"/>
  <c r="BE20" i="3"/>
  <c r="BE18" i="3"/>
  <c r="BE23" i="3"/>
  <c r="BE22" i="3"/>
  <c r="BE19" i="3"/>
  <c r="BE17" i="3"/>
  <c r="V9" i="3"/>
  <c r="BE16" i="3"/>
  <c r="BB60" i="3"/>
  <c r="Q38" i="2"/>
  <c r="Q50" i="2" s="1"/>
  <c r="BB59" i="3"/>
  <c r="Q37" i="2"/>
  <c r="Q49" i="2" s="1"/>
  <c r="BB61" i="3"/>
  <c r="Q39" i="2"/>
  <c r="Q51" i="2" s="1"/>
  <c r="BB58" i="3"/>
  <c r="Q36" i="2"/>
  <c r="Q48" i="2" s="1"/>
  <c r="BB57" i="3"/>
  <c r="Q35" i="2"/>
  <c r="Q47" i="2" s="1"/>
  <c r="BD70" i="3"/>
  <c r="BD66" i="3"/>
  <c r="BD73" i="3"/>
  <c r="BD69" i="3"/>
  <c r="BD72" i="3"/>
  <c r="BD68" i="3"/>
  <c r="BD71" i="3"/>
  <c r="BD67" i="3"/>
  <c r="BD64" i="3"/>
  <c r="BD65" i="3"/>
  <c r="BD85" i="3"/>
  <c r="BD81" i="3"/>
  <c r="BD84" i="3"/>
  <c r="BD82" i="3"/>
  <c r="BD78" i="3"/>
  <c r="BD80" i="3"/>
  <c r="BD83" i="3"/>
  <c r="BD79" i="3"/>
  <c r="BC13" i="3"/>
  <c r="BC10" i="3"/>
  <c r="BC11" i="3"/>
  <c r="BC7" i="3"/>
  <c r="BC55" i="3" s="1"/>
  <c r="BC12" i="3"/>
  <c r="BC8" i="3"/>
  <c r="BC56" i="3" s="1"/>
  <c r="BC9" i="3"/>
  <c r="BC5" i="3"/>
  <c r="BC53" i="3" s="1"/>
  <c r="BC6" i="3"/>
  <c r="BC54" i="3" s="1"/>
  <c r="BC4" i="3"/>
  <c r="BC52" i="3" s="1"/>
  <c r="BD77" i="3"/>
  <c r="BD76" i="3"/>
  <c r="BG30" i="3" l="1"/>
  <c r="BG37" i="3"/>
  <c r="BG33" i="3"/>
  <c r="BG28" i="3"/>
  <c r="BG32" i="3"/>
  <c r="BG36" i="3"/>
  <c r="BG29" i="3"/>
  <c r="BG35" i="3"/>
  <c r="BG31" i="3"/>
  <c r="BG34" i="3"/>
  <c r="X12" i="3"/>
  <c r="BF20" i="3"/>
  <c r="BF18" i="3"/>
  <c r="BF22" i="3"/>
  <c r="BF17" i="3"/>
  <c r="W9" i="3"/>
  <c r="BF23" i="3"/>
  <c r="BF21" i="3"/>
  <c r="BF16" i="3"/>
  <c r="BF24" i="3"/>
  <c r="BF19" i="3"/>
  <c r="BC57" i="3"/>
  <c r="R35" i="2"/>
  <c r="R47" i="2" s="1"/>
  <c r="BC61" i="3"/>
  <c r="R39" i="2"/>
  <c r="R51" i="2" s="1"/>
  <c r="BC60" i="3"/>
  <c r="R38" i="2"/>
  <c r="R50" i="2" s="1"/>
  <c r="BC59" i="3"/>
  <c r="R37" i="2"/>
  <c r="R49" i="2" s="1"/>
  <c r="BC58" i="3"/>
  <c r="R36" i="2"/>
  <c r="R48" i="2" s="1"/>
  <c r="BE70" i="3"/>
  <c r="BE66" i="3"/>
  <c r="BE73" i="3"/>
  <c r="BE69" i="3"/>
  <c r="BE72" i="3"/>
  <c r="BE68" i="3"/>
  <c r="BE71" i="3"/>
  <c r="BE67" i="3"/>
  <c r="BE65" i="3"/>
  <c r="BE64" i="3"/>
  <c r="BE85" i="3"/>
  <c r="BE82" i="3"/>
  <c r="BE78" i="3"/>
  <c r="BE83" i="3"/>
  <c r="BE79" i="3"/>
  <c r="BE81" i="3"/>
  <c r="BE84" i="3"/>
  <c r="BE80" i="3"/>
  <c r="BE77" i="3"/>
  <c r="BE76" i="3"/>
  <c r="BD13" i="3"/>
  <c r="BD10" i="3"/>
  <c r="BD6" i="3"/>
  <c r="BD54" i="3" s="1"/>
  <c r="BD11" i="3"/>
  <c r="BD7" i="3"/>
  <c r="BD55" i="3" s="1"/>
  <c r="BD5" i="3"/>
  <c r="BD53" i="3" s="1"/>
  <c r="BD4" i="3"/>
  <c r="BD52" i="3" s="1"/>
  <c r="BD8" i="3"/>
  <c r="BD56" i="3" s="1"/>
  <c r="BD12" i="3"/>
  <c r="BD9" i="3"/>
  <c r="BH37" i="3" l="1"/>
  <c r="BH31" i="3"/>
  <c r="BH30" i="3"/>
  <c r="BH29" i="3"/>
  <c r="BH35" i="3"/>
  <c r="BH33" i="3"/>
  <c r="BH34" i="3"/>
  <c r="BH36" i="3"/>
  <c r="BH32" i="3"/>
  <c r="BH28" i="3"/>
  <c r="Y12" i="3"/>
  <c r="BG20" i="3"/>
  <c r="BG18" i="3"/>
  <c r="BG17" i="3"/>
  <c r="BG24" i="3"/>
  <c r="X9" i="3"/>
  <c r="BG19" i="3"/>
  <c r="BG22" i="3"/>
  <c r="BG23" i="3"/>
  <c r="BG21" i="3"/>
  <c r="BG16" i="3"/>
  <c r="BD57" i="3"/>
  <c r="S35" i="2"/>
  <c r="S47" i="2" s="1"/>
  <c r="BD58" i="3"/>
  <c r="S36" i="2"/>
  <c r="S48" i="2" s="1"/>
  <c r="BD61" i="3"/>
  <c r="S39" i="2"/>
  <c r="S51" i="2" s="1"/>
  <c r="BD60" i="3"/>
  <c r="S38" i="2"/>
  <c r="S50" i="2" s="1"/>
  <c r="BD59" i="3"/>
  <c r="S37" i="2"/>
  <c r="S49" i="2" s="1"/>
  <c r="BF70" i="3"/>
  <c r="BF66" i="3"/>
  <c r="BF73" i="3"/>
  <c r="BF69" i="3"/>
  <c r="BF72" i="3"/>
  <c r="BF68" i="3"/>
  <c r="BF71" i="3"/>
  <c r="BF67" i="3"/>
  <c r="BF65" i="3"/>
  <c r="BF64" i="3"/>
  <c r="BF83" i="3"/>
  <c r="BF79" i="3"/>
  <c r="BF82" i="3"/>
  <c r="BF84" i="3"/>
  <c r="BF80" i="3"/>
  <c r="BF85" i="3"/>
  <c r="BF81" i="3"/>
  <c r="BF78" i="3"/>
  <c r="BE12" i="3"/>
  <c r="BE13" i="3"/>
  <c r="BE9" i="3"/>
  <c r="BE10" i="3"/>
  <c r="BE6" i="3"/>
  <c r="BE54" i="3" s="1"/>
  <c r="BE7" i="3"/>
  <c r="BE55" i="3" s="1"/>
  <c r="BE4" i="3"/>
  <c r="BE52" i="3" s="1"/>
  <c r="BE11" i="3"/>
  <c r="BE8" i="3"/>
  <c r="BE56" i="3" s="1"/>
  <c r="BE5" i="3"/>
  <c r="BE53" i="3" s="1"/>
  <c r="BF77" i="3"/>
  <c r="BF76" i="3"/>
  <c r="BI35" i="3" l="1"/>
  <c r="BI32" i="3"/>
  <c r="BI34" i="3"/>
  <c r="BI28" i="3"/>
  <c r="BI37" i="3"/>
  <c r="BI30" i="3"/>
  <c r="BI33" i="3"/>
  <c r="BI31" i="3"/>
  <c r="BI29" i="3"/>
  <c r="BI36" i="3"/>
  <c r="Z12" i="3"/>
  <c r="BH22" i="3"/>
  <c r="BH16" i="3"/>
  <c r="BH21" i="3"/>
  <c r="BH18" i="3"/>
  <c r="Y9" i="3"/>
  <c r="BH24" i="3"/>
  <c r="BH23" i="3"/>
  <c r="BH20" i="3"/>
  <c r="BH19" i="3"/>
  <c r="BH17" i="3"/>
  <c r="BE61" i="3"/>
  <c r="T39" i="2"/>
  <c r="T51" i="2" s="1"/>
  <c r="BE60" i="3"/>
  <c r="T38" i="2"/>
  <c r="T50" i="2" s="1"/>
  <c r="BE57" i="3"/>
  <c r="T35" i="2"/>
  <c r="T47" i="2" s="1"/>
  <c r="BE59" i="3"/>
  <c r="T37" i="2"/>
  <c r="T49" i="2" s="1"/>
  <c r="BE58" i="3"/>
  <c r="T36" i="2"/>
  <c r="T48" i="2" s="1"/>
  <c r="BG70" i="3"/>
  <c r="BG66" i="3"/>
  <c r="BG73" i="3"/>
  <c r="BG69" i="3"/>
  <c r="BG72" i="3"/>
  <c r="BG68" i="3"/>
  <c r="BG71" i="3"/>
  <c r="BG67" i="3"/>
  <c r="BG64" i="3"/>
  <c r="BG65" i="3"/>
  <c r="BG84" i="3"/>
  <c r="BG80" i="3"/>
  <c r="BG85" i="3"/>
  <c r="BG81" i="3"/>
  <c r="BG83" i="3"/>
  <c r="BG79" i="3"/>
  <c r="BG82" i="3"/>
  <c r="BG78" i="3"/>
  <c r="BG77" i="3"/>
  <c r="BG76" i="3"/>
  <c r="BF13" i="3"/>
  <c r="BF11" i="3"/>
  <c r="BF12" i="3"/>
  <c r="BF8" i="3"/>
  <c r="BF56" i="3" s="1"/>
  <c r="BF9" i="3"/>
  <c r="BF6" i="3"/>
  <c r="BF54" i="3" s="1"/>
  <c r="BF10" i="3"/>
  <c r="BF7" i="3"/>
  <c r="BF55" i="3" s="1"/>
  <c r="BF4" i="3"/>
  <c r="BF52" i="3" s="1"/>
  <c r="BF5" i="3"/>
  <c r="BF53" i="3" s="1"/>
  <c r="BJ37" i="3" l="1"/>
  <c r="BJ33" i="3"/>
  <c r="BJ36" i="3"/>
  <c r="BJ29" i="3"/>
  <c r="BJ35" i="3"/>
  <c r="BJ28" i="3"/>
  <c r="BJ34" i="3"/>
  <c r="BJ31" i="3"/>
  <c r="BJ30" i="3"/>
  <c r="BJ32" i="3"/>
  <c r="AA12" i="3"/>
  <c r="AB12" i="3" s="1"/>
  <c r="AC12" i="3" s="1"/>
  <c r="AD12" i="3" s="1"/>
  <c r="AE12" i="3" s="1"/>
  <c r="AF12" i="3" s="1"/>
  <c r="AG12" i="3" s="1"/>
  <c r="AH12" i="3" s="1"/>
  <c r="AI12" i="3" s="1"/>
  <c r="AJ12" i="3" s="1"/>
  <c r="BI23" i="3"/>
  <c r="BI16" i="3"/>
  <c r="BI21" i="3"/>
  <c r="BI22" i="3"/>
  <c r="Z9" i="3"/>
  <c r="BI19" i="3"/>
  <c r="BI24" i="3"/>
  <c r="BI18" i="3"/>
  <c r="BI20" i="3"/>
  <c r="BI17" i="3"/>
  <c r="BF60" i="3"/>
  <c r="U38" i="2"/>
  <c r="U50" i="2" s="1"/>
  <c r="BF61" i="3"/>
  <c r="U39" i="2"/>
  <c r="U51" i="2" s="1"/>
  <c r="BF59" i="3"/>
  <c r="U37" i="2"/>
  <c r="U49" i="2" s="1"/>
  <c r="BF58" i="3"/>
  <c r="U36" i="2"/>
  <c r="U48" i="2" s="1"/>
  <c r="BF57" i="3"/>
  <c r="U35" i="2"/>
  <c r="U47" i="2" s="1"/>
  <c r="BH70" i="3"/>
  <c r="BH66" i="3"/>
  <c r="BH73" i="3"/>
  <c r="BH69" i="3"/>
  <c r="BH72" i="3"/>
  <c r="BH68" i="3"/>
  <c r="BH67" i="3"/>
  <c r="BH71" i="3"/>
  <c r="BH64" i="3"/>
  <c r="BH65" i="3"/>
  <c r="BH85" i="3"/>
  <c r="BH81" i="3"/>
  <c r="BH82" i="3"/>
  <c r="BH78" i="3"/>
  <c r="BH83" i="3"/>
  <c r="BH79" i="3"/>
  <c r="BH84" i="3"/>
  <c r="BH80" i="3"/>
  <c r="BG13" i="3"/>
  <c r="BG10" i="3"/>
  <c r="BG11" i="3"/>
  <c r="BG7" i="3"/>
  <c r="BG55" i="3" s="1"/>
  <c r="BG12" i="3"/>
  <c r="BG8" i="3"/>
  <c r="BG56" i="3" s="1"/>
  <c r="BG6" i="3"/>
  <c r="BG54" i="3" s="1"/>
  <c r="BG4" i="3"/>
  <c r="BG52" i="3" s="1"/>
  <c r="BG5" i="3"/>
  <c r="BG53" i="3" s="1"/>
  <c r="BG9" i="3"/>
  <c r="BH77" i="3"/>
  <c r="BH76" i="3"/>
  <c r="BJ20" i="3" l="1"/>
  <c r="BJ19" i="3"/>
  <c r="BJ23" i="3"/>
  <c r="BJ18" i="3"/>
  <c r="AA9" i="3"/>
  <c r="AB9" i="3" s="1"/>
  <c r="AC9" i="3" s="1"/>
  <c r="AD9" i="3" s="1"/>
  <c r="AE9" i="3" s="1"/>
  <c r="AF9" i="3" s="1"/>
  <c r="AG9" i="3" s="1"/>
  <c r="AH9" i="3" s="1"/>
  <c r="AI9" i="3" s="1"/>
  <c r="AJ9" i="3" s="1"/>
  <c r="BJ16" i="3"/>
  <c r="BJ21" i="3"/>
  <c r="BJ17" i="3"/>
  <c r="BJ24" i="3"/>
  <c r="BJ22" i="3"/>
  <c r="BG57" i="3"/>
  <c r="V35" i="2"/>
  <c r="V47" i="2" s="1"/>
  <c r="BG59" i="3"/>
  <c r="V37" i="2"/>
  <c r="V49" i="2" s="1"/>
  <c r="BG61" i="3"/>
  <c r="V39" i="2"/>
  <c r="V51" i="2" s="1"/>
  <c r="BG60" i="3"/>
  <c r="V38" i="2"/>
  <c r="V50" i="2" s="1"/>
  <c r="BG58" i="3"/>
  <c r="V36" i="2"/>
  <c r="V48" i="2" s="1"/>
  <c r="BI70" i="3"/>
  <c r="BI66" i="3"/>
  <c r="BI73" i="3"/>
  <c r="BI69" i="3"/>
  <c r="BI72" i="3"/>
  <c r="BI68" i="3"/>
  <c r="BI71" i="3"/>
  <c r="BI67" i="3"/>
  <c r="BI64" i="3"/>
  <c r="BI65" i="3"/>
  <c r="BI85" i="3"/>
  <c r="BI82" i="3"/>
  <c r="BI78" i="3"/>
  <c r="BI81" i="3"/>
  <c r="BI83" i="3"/>
  <c r="BI79" i="3"/>
  <c r="BI84" i="3"/>
  <c r="BI80" i="3"/>
  <c r="BI77" i="3"/>
  <c r="BI76" i="3"/>
  <c r="BH13" i="3"/>
  <c r="BH10" i="3"/>
  <c r="BH6" i="3"/>
  <c r="BH54" i="3" s="1"/>
  <c r="BH11" i="3"/>
  <c r="BH7" i="3"/>
  <c r="BH55" i="3" s="1"/>
  <c r="BH5" i="3"/>
  <c r="BH53" i="3" s="1"/>
  <c r="BH4" i="3"/>
  <c r="BH52" i="3" s="1"/>
  <c r="BH9" i="3"/>
  <c r="BH12" i="3"/>
  <c r="BH8" i="3"/>
  <c r="BH56" i="3" s="1"/>
  <c r="BH60" i="3" l="1"/>
  <c r="W38" i="2"/>
  <c r="W50" i="2" s="1"/>
  <c r="BH57" i="3"/>
  <c r="W35" i="2"/>
  <c r="W47" i="2" s="1"/>
  <c r="BH58" i="3"/>
  <c r="W36" i="2"/>
  <c r="W48" i="2" s="1"/>
  <c r="BH61" i="3"/>
  <c r="W39" i="2"/>
  <c r="W51" i="2" s="1"/>
  <c r="BH59" i="3"/>
  <c r="W37" i="2"/>
  <c r="W49" i="2" s="1"/>
  <c r="BJ70" i="3"/>
  <c r="BK70" i="3" s="1"/>
  <c r="M19" i="2" s="1"/>
  <c r="BJ66" i="3"/>
  <c r="BK66" i="3" s="1"/>
  <c r="I19" i="2" s="1"/>
  <c r="BJ73" i="3"/>
  <c r="BK73" i="3" s="1"/>
  <c r="P19" i="2" s="1"/>
  <c r="BJ69" i="3"/>
  <c r="BK69" i="3" s="1"/>
  <c r="L19" i="2" s="1"/>
  <c r="BJ72" i="3"/>
  <c r="BK72" i="3" s="1"/>
  <c r="O19" i="2" s="1"/>
  <c r="BJ68" i="3"/>
  <c r="BK68" i="3" s="1"/>
  <c r="K19" i="2" s="1"/>
  <c r="BJ71" i="3"/>
  <c r="BK71" i="3" s="1"/>
  <c r="N19" i="2" s="1"/>
  <c r="BJ67" i="3"/>
  <c r="BK67" i="3" s="1"/>
  <c r="J19" i="2" s="1"/>
  <c r="BJ65" i="3"/>
  <c r="BK65" i="3" s="1"/>
  <c r="H19" i="2" s="1"/>
  <c r="BJ64" i="3"/>
  <c r="BJ83" i="3"/>
  <c r="BJ79" i="3"/>
  <c r="BJ84" i="3"/>
  <c r="BJ80" i="3"/>
  <c r="BJ85" i="3"/>
  <c r="BJ81" i="3"/>
  <c r="BJ82" i="3"/>
  <c r="BJ78" i="3"/>
  <c r="BI12" i="3"/>
  <c r="BI9" i="3"/>
  <c r="BI13" i="3"/>
  <c r="BI10" i="3"/>
  <c r="BI6" i="3"/>
  <c r="BI54" i="3" s="1"/>
  <c r="BI5" i="3"/>
  <c r="BI53" i="3" s="1"/>
  <c r="BI8" i="3"/>
  <c r="BI56" i="3" s="1"/>
  <c r="BI4" i="3"/>
  <c r="BI52" i="3" s="1"/>
  <c r="BI7" i="3"/>
  <c r="BI55" i="3" s="1"/>
  <c r="BI11" i="3"/>
  <c r="BJ77" i="3"/>
  <c r="BK77" i="3" s="1"/>
  <c r="H20" i="2" s="1"/>
  <c r="E8" i="2" s="1"/>
  <c r="G34" i="12" s="1"/>
  <c r="BJ76" i="3"/>
  <c r="BK76" i="3" s="1"/>
  <c r="G20" i="2" s="1"/>
  <c r="D8" i="2" s="1"/>
  <c r="E34" i="12" s="1"/>
  <c r="E68" i="12" l="1"/>
  <c r="E69" i="12" s="1"/>
  <c r="E67" i="12"/>
  <c r="G68" i="12"/>
  <c r="G69" i="12" s="1"/>
  <c r="G67" i="12"/>
  <c r="E34" i="1"/>
  <c r="Z13" i="1" s="1"/>
  <c r="G34" i="1"/>
  <c r="E68" i="1"/>
  <c r="BI58" i="3"/>
  <c r="X36" i="2"/>
  <c r="X48" i="2" s="1"/>
  <c r="BI60" i="3"/>
  <c r="X38" i="2"/>
  <c r="X50" i="2" s="1"/>
  <c r="BI59" i="3"/>
  <c r="X37" i="2"/>
  <c r="X49" i="2" s="1"/>
  <c r="BI61" i="3"/>
  <c r="X39" i="2"/>
  <c r="X51" i="2" s="1"/>
  <c r="BI57" i="3"/>
  <c r="X35" i="2"/>
  <c r="X47" i="2" s="1"/>
  <c r="BJ13" i="3"/>
  <c r="BJ11" i="3"/>
  <c r="BJ12" i="3"/>
  <c r="BJ8" i="3"/>
  <c r="BJ56" i="3" s="1"/>
  <c r="BK56" i="3" s="1"/>
  <c r="K18" i="2" s="1"/>
  <c r="BJ9" i="3"/>
  <c r="BJ4" i="3"/>
  <c r="BJ52" i="3" s="1"/>
  <c r="BK52" i="3" s="1"/>
  <c r="G18" i="2" s="1"/>
  <c r="BJ7" i="3"/>
  <c r="BJ55" i="3" s="1"/>
  <c r="BK55" i="3" s="1"/>
  <c r="J18" i="2" s="1"/>
  <c r="G8" i="2" s="1"/>
  <c r="K34" i="12" s="1"/>
  <c r="BJ5" i="3"/>
  <c r="BJ53" i="3" s="1"/>
  <c r="BK53" i="3" s="1"/>
  <c r="H18" i="2" s="1"/>
  <c r="BJ6" i="3"/>
  <c r="BJ54" i="3" s="1"/>
  <c r="BK54" i="3" s="1"/>
  <c r="I18" i="2" s="1"/>
  <c r="I34" i="1" s="1"/>
  <c r="AB13" i="1" s="1"/>
  <c r="BJ10" i="3"/>
  <c r="G68" i="1" l="1"/>
  <c r="AA13" i="1"/>
  <c r="Z15" i="1"/>
  <c r="AB15" i="1"/>
  <c r="AB25" i="1" s="1"/>
  <c r="K67" i="12"/>
  <c r="K68" i="12"/>
  <c r="K69" i="12" s="1"/>
  <c r="E67" i="1"/>
  <c r="E69" i="1"/>
  <c r="G67" i="1"/>
  <c r="K34" i="1"/>
  <c r="I67" i="1"/>
  <c r="I68" i="1"/>
  <c r="BJ61" i="3"/>
  <c r="BK61" i="3" s="1"/>
  <c r="P18" i="2" s="1"/>
  <c r="M8" i="2" s="1"/>
  <c r="W34" i="12" s="1"/>
  <c r="Y39" i="2"/>
  <c r="Y51" i="2" s="1"/>
  <c r="BJ57" i="3"/>
  <c r="BK57" i="3" s="1"/>
  <c r="L18" i="2" s="1"/>
  <c r="I8" i="2" s="1"/>
  <c r="O34" i="12" s="1"/>
  <c r="Y35" i="2"/>
  <c r="Y47" i="2" s="1"/>
  <c r="BJ59" i="3"/>
  <c r="BK59" i="3" s="1"/>
  <c r="N18" i="2" s="1"/>
  <c r="K8" i="2" s="1"/>
  <c r="S34" i="12" s="1"/>
  <c r="Y37" i="2"/>
  <c r="Y49" i="2" s="1"/>
  <c r="BJ58" i="3"/>
  <c r="BK58" i="3" s="1"/>
  <c r="M18" i="2" s="1"/>
  <c r="J8" i="2" s="1"/>
  <c r="Q34" i="12" s="1"/>
  <c r="Y36" i="2"/>
  <c r="Y48" i="2" s="1"/>
  <c r="BJ60" i="3"/>
  <c r="BK60" i="3" s="1"/>
  <c r="O18" i="2" s="1"/>
  <c r="L8" i="2" s="1"/>
  <c r="U34" i="12" s="1"/>
  <c r="Y38" i="2"/>
  <c r="Y50" i="2" s="1"/>
  <c r="H8" i="2"/>
  <c r="M34" i="12" s="1"/>
  <c r="G69" i="1" l="1"/>
  <c r="Z17" i="1"/>
  <c r="Z25" i="1"/>
  <c r="AB24" i="1"/>
  <c r="AB16" i="1"/>
  <c r="AB23" i="1"/>
  <c r="AB18" i="1"/>
  <c r="K67" i="1"/>
  <c r="AC13" i="1"/>
  <c r="M67" i="12"/>
  <c r="M68" i="12"/>
  <c r="M69" i="12" s="1"/>
  <c r="Z23" i="1"/>
  <c r="Z16" i="1"/>
  <c r="Z18" i="1"/>
  <c r="Z26" i="1" s="1"/>
  <c r="Z24" i="1"/>
  <c r="AA15" i="1"/>
  <c r="AB17" i="1"/>
  <c r="I69" i="1"/>
  <c r="W34" i="1"/>
  <c r="S34" i="1"/>
  <c r="K68" i="1"/>
  <c r="U34" i="1"/>
  <c r="O34" i="1"/>
  <c r="Q34" i="1"/>
  <c r="M34" i="1"/>
  <c r="W67" i="1"/>
  <c r="W68" i="1"/>
  <c r="W69" i="1" s="1"/>
  <c r="U67" i="1"/>
  <c r="U68" i="1"/>
  <c r="U69" i="1" s="1"/>
  <c r="O67" i="1"/>
  <c r="O68" i="1"/>
  <c r="O69" i="1" s="1"/>
  <c r="S67" i="1"/>
  <c r="S68" i="1"/>
  <c r="S69" i="1" s="1"/>
  <c r="Q68" i="1"/>
  <c r="Q69" i="1" s="1"/>
  <c r="Q67" i="1"/>
  <c r="E74" i="12"/>
  <c r="AA17" i="1" l="1"/>
  <c r="AA25" i="1"/>
  <c r="AB26" i="1"/>
  <c r="M67" i="1"/>
  <c r="G71" i="1" s="1"/>
  <c r="M72" i="1" s="1"/>
  <c r="AD13" i="1"/>
  <c r="AC15" i="1"/>
  <c r="E75" i="12" a="1"/>
  <c r="E75" i="12" s="1"/>
  <c r="AA23" i="1"/>
  <c r="AA24" i="1"/>
  <c r="AA18" i="1"/>
  <c r="AA16" i="1"/>
  <c r="G71" i="12"/>
  <c r="M72" i="12" s="1"/>
  <c r="K69" i="1"/>
  <c r="M68" i="1"/>
  <c r="I70" i="1" s="1"/>
  <c r="W72" i="1"/>
  <c r="Q72" i="1"/>
  <c r="U72" i="1"/>
  <c r="S72" i="1"/>
  <c r="O72" i="1"/>
  <c r="K70" i="1" l="1"/>
  <c r="E70" i="1"/>
  <c r="G70" i="1"/>
  <c r="AC17" i="1"/>
  <c r="AC25" i="1"/>
  <c r="AA26" i="1"/>
  <c r="I72" i="1"/>
  <c r="I73" i="1" s="1"/>
  <c r="E72" i="1"/>
  <c r="E73" i="1" s="1"/>
  <c r="K72" i="1"/>
  <c r="K73" i="1" s="1"/>
  <c r="AC18" i="1"/>
  <c r="AC16" i="1"/>
  <c r="AC23" i="1"/>
  <c r="AC24" i="1"/>
  <c r="AD15" i="1"/>
  <c r="AD17" i="1" s="1"/>
  <c r="K72" i="12"/>
  <c r="I72" i="12"/>
  <c r="E72" i="12"/>
  <c r="G72" i="12"/>
  <c r="G72" i="1"/>
  <c r="G73" i="1" s="1"/>
  <c r="M69" i="1"/>
  <c r="BK16" i="3"/>
  <c r="H21" i="3" s="1"/>
  <c r="G13" i="2" s="1"/>
  <c r="AO64" i="3"/>
  <c r="BK64" i="3" s="1"/>
  <c r="G19" i="2" s="1"/>
  <c r="E74" i="1"/>
  <c r="AC26" i="1" l="1"/>
  <c r="AD23" i="1"/>
  <c r="AD24" i="1"/>
  <c r="AD18" i="1"/>
  <c r="AD26" i="1" s="1"/>
  <c r="AD16" i="1"/>
  <c r="E75" i="1" a="1"/>
  <c r="E75" i="1" s="1"/>
</calcChain>
</file>

<file path=xl/sharedStrings.xml><?xml version="1.0" encoding="utf-8"?>
<sst xmlns="http://schemas.openxmlformats.org/spreadsheetml/2006/main" count="1095" uniqueCount="266">
  <si>
    <t>使用需求條件</t>
    <phoneticPr fontId="3" type="noConversion"/>
  </si>
  <si>
    <t>i</t>
  </si>
  <si>
    <t>車輛使用年限</t>
    <phoneticPr fontId="3" type="noConversion"/>
  </si>
  <si>
    <t>折現率</t>
    <phoneticPr fontId="3" type="noConversion"/>
  </si>
  <si>
    <t>車款數量</t>
    <phoneticPr fontId="3" type="noConversion"/>
  </si>
  <si>
    <t>年</t>
    <phoneticPr fontId="3" type="noConversion"/>
  </si>
  <si>
    <t>%</t>
  </si>
  <si>
    <t>資產採購成本</t>
    <phoneticPr fontId="3" type="noConversion"/>
  </si>
  <si>
    <t>車款名稱</t>
    <phoneticPr fontId="3" type="noConversion"/>
  </si>
  <si>
    <t>每年車輛使用里程</t>
    <phoneticPr fontId="3" type="noConversion"/>
  </si>
  <si>
    <t>km</t>
  </si>
  <si>
    <t>能源使用種類</t>
    <phoneticPr fontId="3" type="noConversion"/>
  </si>
  <si>
    <t>每輛車能耗效率</t>
    <phoneticPr fontId="3" type="noConversion"/>
  </si>
  <si>
    <t>能源單價</t>
    <phoneticPr fontId="3" type="noConversion"/>
  </si>
  <si>
    <t>預計每年保養成本</t>
    <phoneticPr fontId="3" type="noConversion"/>
  </si>
  <si>
    <t>(or) 每年保養服務合約費用</t>
    <phoneticPr fontId="3" type="noConversion"/>
  </si>
  <si>
    <t>車輛每年課稅總額</t>
    <phoneticPr fontId="3" type="noConversion"/>
  </si>
  <si>
    <t>每年車輛保險費</t>
    <phoneticPr fontId="3" type="noConversion"/>
  </si>
  <si>
    <t>回收價格</t>
    <phoneticPr fontId="3" type="noConversion"/>
  </si>
  <si>
    <t>剩餘價值(合約年限完畢)</t>
    <phoneticPr fontId="3" type="noConversion"/>
  </si>
  <si>
    <t>$/台</t>
    <phoneticPr fontId="3" type="noConversion"/>
  </si>
  <si>
    <t>$/台/年</t>
    <phoneticPr fontId="3" type="noConversion"/>
  </si>
  <si>
    <t>$/單位</t>
    <phoneticPr fontId="3" type="noConversion"/>
  </si>
  <si>
    <t>$/單位/年</t>
    <phoneticPr fontId="3" type="noConversion"/>
  </si>
  <si>
    <t>$/年</t>
    <phoneticPr fontId="3" type="noConversion"/>
  </si>
  <si>
    <t>$</t>
    <phoneticPr fontId="3" type="noConversion"/>
  </si>
  <si>
    <t>(or) 每年租賃單價</t>
    <phoneticPr fontId="3" type="noConversion"/>
  </si>
  <si>
    <t>(or) 電池租賃價格</t>
    <phoneticPr fontId="3" type="noConversion"/>
  </si>
  <si>
    <t>FOR CALCULATIONS ONLY - DO NOT AMEND!</t>
  </si>
  <si>
    <t>Diesel</t>
  </si>
  <si>
    <t>MJ/l</t>
  </si>
  <si>
    <t>l/100km</t>
  </si>
  <si>
    <t>Petrol</t>
  </si>
  <si>
    <t>Electricity</t>
  </si>
  <si>
    <t>MJ/kWh</t>
  </si>
  <si>
    <t>kWh/100km</t>
  </si>
  <si>
    <t>Contract type</t>
  </si>
  <si>
    <t>Reference fuel</t>
  </si>
  <si>
    <t>Fuel price increases</t>
  </si>
  <si>
    <t>Yes_no</t>
  </si>
  <si>
    <t>Yes_no_2</t>
  </si>
  <si>
    <t>Purchase</t>
  </si>
  <si>
    <t>Choose own values</t>
  </si>
  <si>
    <t>Yes</t>
  </si>
  <si>
    <t xml:space="preserve">Yes </t>
  </si>
  <si>
    <t>Lease</t>
  </si>
  <si>
    <t>Use default OECD-FAO values</t>
  </si>
  <si>
    <t>No</t>
  </si>
  <si>
    <t xml:space="preserve">No </t>
  </si>
  <si>
    <t>柴油</t>
  </si>
  <si>
    <t>柴油</t>
    <phoneticPr fontId="3" type="noConversion"/>
  </si>
  <si>
    <t>汽油</t>
  </si>
  <si>
    <t>汽油</t>
    <phoneticPr fontId="3" type="noConversion"/>
  </si>
  <si>
    <t>電力</t>
  </si>
  <si>
    <t>電力</t>
    <phoneticPr fontId="3" type="noConversion"/>
  </si>
  <si>
    <t>資料來源</t>
    <phoneticPr fontId="3" type="noConversion"/>
  </si>
  <si>
    <t>$/million Btu</t>
    <phoneticPr fontId="3" type="noConversion"/>
  </si>
  <si>
    <t>$/million Btu</t>
  </si>
  <si>
    <r>
      <t xml:space="preserve">5 </t>
    </r>
    <r>
      <rPr>
        <b/>
        <sz val="10"/>
        <color rgb="FF000000"/>
        <rFont val="細明體"/>
        <family val="3"/>
        <charset val="136"/>
      </rPr>
      <t>年</t>
    </r>
    <phoneticPr fontId="3" type="noConversion"/>
  </si>
  <si>
    <r>
      <t xml:space="preserve">10 </t>
    </r>
    <r>
      <rPr>
        <b/>
        <sz val="10"/>
        <color rgb="FF000000"/>
        <rFont val="細明體"/>
        <family val="3"/>
        <charset val="136"/>
      </rPr>
      <t>年</t>
    </r>
    <phoneticPr fontId="3" type="noConversion"/>
  </si>
  <si>
    <r>
      <t xml:space="preserve">12 </t>
    </r>
    <r>
      <rPr>
        <b/>
        <sz val="10"/>
        <color rgb="FF000000"/>
        <rFont val="細明體"/>
        <family val="3"/>
        <charset val="136"/>
      </rPr>
      <t>年</t>
    </r>
    <phoneticPr fontId="3" type="noConversion"/>
  </si>
  <si>
    <t>Annual Energy Outlook 2019
Table: Energy Prices by Sector and Source
Case: Reference case | Region: Pacific</t>
    <phoneticPr fontId="3" type="noConversion"/>
  </si>
  <si>
    <t>預測價格</t>
    <phoneticPr fontId="3" type="noConversion"/>
  </si>
  <si>
    <r>
      <rPr>
        <sz val="8"/>
        <color rgb="FF000000"/>
        <rFont val="細明體"/>
        <family val="3"/>
        <charset val="136"/>
      </rPr>
      <t>年變化率</t>
    </r>
    <r>
      <rPr>
        <sz val="8"/>
        <color rgb="FF000000"/>
        <rFont val="Calibri"/>
        <family val="2"/>
      </rPr>
      <t>(%)</t>
    </r>
    <phoneticPr fontId="3" type="noConversion"/>
  </si>
  <si>
    <r>
      <rPr>
        <sz val="8"/>
        <color rgb="FF000000"/>
        <rFont val="細明體"/>
        <family val="3"/>
        <charset val="136"/>
      </rPr>
      <t>累積變化率</t>
    </r>
    <r>
      <rPr>
        <sz val="8"/>
        <color rgb="FF000000"/>
        <rFont val="Calibri"/>
        <family val="2"/>
      </rPr>
      <t>(%)</t>
    </r>
    <phoneticPr fontId="3" type="noConversion"/>
  </si>
  <si>
    <t>Energy source/fuel</t>
  </si>
  <si>
    <r>
      <t>Physical units and Btu</t>
    </r>
    <r>
      <rPr>
        <b/>
        <vertAlign val="superscript"/>
        <sz val="9"/>
        <color rgb="FF333333"/>
        <rFont val="Arial"/>
        <family val="2"/>
      </rPr>
      <t>1</t>
    </r>
  </si>
  <si>
    <t>1 kilowatthour = 3,412 Btu</t>
  </si>
  <si>
    <t>Natural gas</t>
  </si>
  <si>
    <t>1 cubic foot = 1,036 Btu</t>
  </si>
  <si>
    <t>1 therm = 100,000 Btu</t>
  </si>
  <si>
    <t>Motor gasoline</t>
  </si>
  <si>
    <r>
      <t>1 gallon = 120,333 Btu</t>
    </r>
    <r>
      <rPr>
        <b/>
        <vertAlign val="superscript"/>
        <sz val="9"/>
        <color rgb="FF333333"/>
        <rFont val="Arial"/>
        <family val="2"/>
      </rPr>
      <t>2</t>
    </r>
  </si>
  <si>
    <t>Diesel fuel</t>
  </si>
  <si>
    <t>1 gallon = 137,381 Btu</t>
  </si>
  <si>
    <t>Heating oil</t>
  </si>
  <si>
    <t>1 gallon = 138,500 Btu</t>
  </si>
  <si>
    <t>Propane</t>
  </si>
  <si>
    <t>1 gallon = 91,333 Btu</t>
  </si>
  <si>
    <t>Wood</t>
  </si>
  <si>
    <r>
      <t>1 cord = 20,000,000 Btu</t>
    </r>
    <r>
      <rPr>
        <b/>
        <vertAlign val="superscript"/>
        <sz val="9"/>
        <color rgb="FF333333"/>
        <rFont val="Arial"/>
        <family val="2"/>
      </rPr>
      <t>3</t>
    </r>
  </si>
  <si>
    <r>
      <t>1</t>
    </r>
    <r>
      <rPr>
        <sz val="12"/>
        <color rgb="FF333333"/>
        <rFont val="Arial"/>
        <family val="2"/>
      </rPr>
      <t> Btu factors are for end-use consumption in 2018 from </t>
    </r>
    <r>
      <rPr>
        <i/>
        <sz val="12"/>
        <color rgb="FF333333"/>
        <rFont val="Arial"/>
        <family val="2"/>
      </rPr>
      <t>Monthly Energy Review</t>
    </r>
    <r>
      <rPr>
        <sz val="12"/>
        <color rgb="FF333333"/>
        <rFont val="Arial"/>
        <family val="2"/>
      </rPr>
      <t>, May 2019, excluding wood.</t>
    </r>
  </si>
  <si>
    <r>
      <t>2</t>
    </r>
    <r>
      <rPr>
        <sz val="12"/>
        <color rgb="FF333333"/>
        <rFont val="Arial"/>
        <family val="2"/>
      </rPr>
      <t> Finished motor gasoline sold at retail in the United States, including fuel ethanol content.</t>
    </r>
  </si>
  <si>
    <r>
      <t>3</t>
    </r>
    <r>
      <rPr>
        <sz val="12"/>
        <color rgb="FF333333"/>
        <rFont val="Arial"/>
        <family val="2"/>
      </rPr>
      <t> This conversion is an estimate. A cord of wood is a volume unit and does not take wood density or moisture content into account. Wood heat content varies significantly with moisture content.</t>
    </r>
  </si>
  <si>
    <r>
      <t xml:space="preserve">3 </t>
    </r>
    <r>
      <rPr>
        <b/>
        <sz val="10"/>
        <color rgb="FF000000"/>
        <rFont val="細明體"/>
        <family val="3"/>
        <charset val="136"/>
      </rPr>
      <t>年</t>
    </r>
    <phoneticPr fontId="3" type="noConversion"/>
  </si>
  <si>
    <t>電池</t>
    <phoneticPr fontId="3" type="noConversion"/>
  </si>
  <si>
    <r>
      <rPr>
        <sz val="8"/>
        <color rgb="FF000000"/>
        <rFont val="細明體"/>
        <family val="3"/>
        <charset val="136"/>
      </rPr>
      <t>預測價格</t>
    </r>
    <r>
      <rPr>
        <sz val="8"/>
        <color rgb="FF000000"/>
        <rFont val="Calibri"/>
        <family val="2"/>
      </rPr>
      <t xml:space="preserve"> ($/million Btu)</t>
    </r>
    <phoneticPr fontId="3" type="noConversion"/>
  </si>
  <si>
    <r>
      <rPr>
        <sz val="8"/>
        <color rgb="FF000000"/>
        <rFont val="細明體"/>
        <family val="3"/>
        <charset val="136"/>
      </rPr>
      <t>變化率</t>
    </r>
    <r>
      <rPr>
        <sz val="8"/>
        <color rgb="FF000000"/>
        <rFont val="Calibri"/>
        <family val="2"/>
      </rPr>
      <t>(%)</t>
    </r>
    <phoneticPr fontId="3" type="noConversion"/>
  </si>
  <si>
    <t>能源價格趨勢</t>
    <phoneticPr fontId="3" type="noConversion"/>
  </si>
  <si>
    <t>柴油</t>
    <phoneticPr fontId="3" type="noConversion"/>
  </si>
  <si>
    <t>汽油</t>
    <phoneticPr fontId="3" type="noConversion"/>
  </si>
  <si>
    <t>電力</t>
    <phoneticPr fontId="3" type="noConversion"/>
  </si>
  <si>
    <t>年變化率(%)</t>
    <phoneticPr fontId="3" type="noConversion"/>
  </si>
  <si>
    <t>$/台</t>
    <phoneticPr fontId="3" type="noConversion"/>
  </si>
  <si>
    <t>電池預定使用年限</t>
    <phoneticPr fontId="3" type="noConversion"/>
  </si>
  <si>
    <t>$/l</t>
  </si>
  <si>
    <t>$/kWh</t>
  </si>
  <si>
    <t>車款 1</t>
  </si>
  <si>
    <t>車款 2</t>
  </si>
  <si>
    <t>車款 3</t>
  </si>
  <si>
    <t>車款 4</t>
  </si>
  <si>
    <t>車款 5</t>
  </si>
  <si>
    <t>車款 6</t>
  </si>
  <si>
    <t>車款 7</t>
  </si>
  <si>
    <t>車款 8</t>
  </si>
  <si>
    <t>車款 9</t>
  </si>
  <si>
    <t>車款 10</t>
  </si>
  <si>
    <t>運行成本</t>
    <phoneticPr fontId="3" type="noConversion"/>
  </si>
  <si>
    <t>保養服務成本</t>
    <phoneticPr fontId="3" type="noConversion"/>
  </si>
  <si>
    <t>課稅、補助與其他成本</t>
    <phoneticPr fontId="3" type="noConversion"/>
  </si>
  <si>
    <t>(每年支付成本費用 1)</t>
  </si>
  <si>
    <t>(每年支付成本費用 2)</t>
  </si>
  <si>
    <t>(一次性成本費用 1)</t>
  </si>
  <si>
    <t>(一次性成本費用 2)</t>
  </si>
  <si>
    <t>(每年補助項目)</t>
    <phoneticPr fontId="3" type="noConversion"/>
  </si>
  <si>
    <t>(一次性補助項目)</t>
    <phoneticPr fontId="3" type="noConversion"/>
  </si>
  <si>
    <t>使用期間能源成本</t>
    <phoneticPr fontId="3" type="noConversion"/>
  </si>
  <si>
    <r>
      <t xml:space="preserve">2021 (3 </t>
    </r>
    <r>
      <rPr>
        <b/>
        <sz val="9"/>
        <color rgb="FF000000"/>
        <rFont val="細明體"/>
        <family val="3"/>
        <charset val="136"/>
      </rPr>
      <t>年</t>
    </r>
    <r>
      <rPr>
        <b/>
        <sz val="9"/>
        <color rgb="FF000000"/>
        <rFont val="Calibri"/>
        <family val="2"/>
      </rPr>
      <t>)</t>
    </r>
    <phoneticPr fontId="3" type="noConversion"/>
  </si>
  <si>
    <r>
      <t xml:space="preserve">2023 (5 </t>
    </r>
    <r>
      <rPr>
        <b/>
        <sz val="9"/>
        <color rgb="FF000000"/>
        <rFont val="細明體"/>
        <family val="3"/>
        <charset val="136"/>
      </rPr>
      <t>年</t>
    </r>
    <r>
      <rPr>
        <b/>
        <sz val="9"/>
        <color rgb="FF000000"/>
        <rFont val="Calibri"/>
        <family val="2"/>
      </rPr>
      <t>)</t>
    </r>
    <phoneticPr fontId="3" type="noConversion"/>
  </si>
  <si>
    <r>
      <t xml:space="preserve">2030 (10 </t>
    </r>
    <r>
      <rPr>
        <b/>
        <sz val="9"/>
        <color rgb="FF000000"/>
        <rFont val="細明體"/>
        <family val="3"/>
        <charset val="136"/>
      </rPr>
      <t>年</t>
    </r>
    <r>
      <rPr>
        <b/>
        <sz val="9"/>
        <color rgb="FF000000"/>
        <rFont val="Calibri"/>
        <family val="2"/>
      </rPr>
      <t>)</t>
    </r>
    <phoneticPr fontId="3" type="noConversion"/>
  </si>
  <si>
    <t>車隊規模(車輛總數)</t>
    <phoneticPr fontId="3" type="noConversion"/>
  </si>
  <si>
    <t>每年補助：維運補助</t>
    <phoneticPr fontId="3" type="noConversion"/>
  </si>
  <si>
    <t>一次性補助：購置補助</t>
    <phoneticPr fontId="3" type="noConversion"/>
  </si>
  <si>
    <r>
      <t xml:space="preserve">13 </t>
    </r>
    <r>
      <rPr>
        <b/>
        <sz val="10"/>
        <color rgb="FF000000"/>
        <rFont val="細明體"/>
        <family val="3"/>
        <charset val="136"/>
      </rPr>
      <t>年</t>
    </r>
  </si>
  <si>
    <r>
      <t xml:space="preserve">14 </t>
    </r>
    <r>
      <rPr>
        <b/>
        <sz val="10"/>
        <color rgb="FF000000"/>
        <rFont val="細明體"/>
        <family val="3"/>
        <charset val="136"/>
      </rPr>
      <t>年</t>
    </r>
  </si>
  <si>
    <r>
      <t xml:space="preserve">15 </t>
    </r>
    <r>
      <rPr>
        <b/>
        <sz val="10"/>
        <color rgb="FF000000"/>
        <rFont val="細明體"/>
        <family val="3"/>
        <charset val="136"/>
      </rPr>
      <t>年</t>
    </r>
  </si>
  <si>
    <r>
      <t xml:space="preserve">16 </t>
    </r>
    <r>
      <rPr>
        <b/>
        <sz val="10"/>
        <color rgb="FF000000"/>
        <rFont val="細明體"/>
        <family val="3"/>
        <charset val="136"/>
      </rPr>
      <t>年</t>
    </r>
  </si>
  <si>
    <r>
      <t xml:space="preserve">17 </t>
    </r>
    <r>
      <rPr>
        <b/>
        <sz val="10"/>
        <color rgb="FF000000"/>
        <rFont val="細明體"/>
        <family val="3"/>
        <charset val="136"/>
      </rPr>
      <t>年</t>
    </r>
  </si>
  <si>
    <r>
      <t xml:space="preserve">18 </t>
    </r>
    <r>
      <rPr>
        <b/>
        <sz val="10"/>
        <color rgb="FF000000"/>
        <rFont val="細明體"/>
        <family val="3"/>
        <charset val="136"/>
      </rPr>
      <t>年</t>
    </r>
  </si>
  <si>
    <r>
      <t xml:space="preserve">19 </t>
    </r>
    <r>
      <rPr>
        <b/>
        <sz val="10"/>
        <color rgb="FF000000"/>
        <rFont val="細明體"/>
        <family val="3"/>
        <charset val="136"/>
      </rPr>
      <t>年</t>
    </r>
  </si>
  <si>
    <r>
      <t xml:space="preserve">20 </t>
    </r>
    <r>
      <rPr>
        <b/>
        <sz val="10"/>
        <color rgb="FF000000"/>
        <rFont val="細明體"/>
        <family val="3"/>
        <charset val="136"/>
      </rPr>
      <t>年</t>
    </r>
  </si>
  <si>
    <t>排放成本</t>
    <phoneticPr fontId="3" type="noConversion"/>
  </si>
  <si>
    <t>鋰電池</t>
    <phoneticPr fontId="3" type="noConversion"/>
  </si>
  <si>
    <t>NA</t>
    <phoneticPr fontId="3" type="noConversion"/>
  </si>
  <si>
    <t>購置年分</t>
    <phoneticPr fontId="3" type="noConversion"/>
  </si>
  <si>
    <t>西元年</t>
    <phoneticPr fontId="3" type="noConversion"/>
  </si>
  <si>
    <t>購置年度</t>
    <phoneticPr fontId="3" type="noConversion"/>
  </si>
  <si>
    <t>新臺幣</t>
    <phoneticPr fontId="3" type="noConversion"/>
  </si>
  <si>
    <t>西元年</t>
    <phoneticPr fontId="3" type="noConversion"/>
  </si>
  <si>
    <t>購置補助金額</t>
    <phoneticPr fontId="3" type="noConversion"/>
  </si>
  <si>
    <t>總額</t>
    <phoneticPr fontId="3" type="noConversion"/>
  </si>
  <si>
    <t>電池重置、用電補助</t>
    <phoneticPr fontId="3" type="noConversion"/>
  </si>
  <si>
    <t>使用期限</t>
    <phoneticPr fontId="3" type="noConversion"/>
  </si>
  <si>
    <t>總補助(新臺幣$)</t>
    <phoneticPr fontId="3" type="noConversion"/>
  </si>
  <si>
    <t>撥款年份</t>
    <phoneticPr fontId="3" type="noConversion"/>
  </si>
  <si>
    <t>購置補助撥款比例</t>
    <phoneticPr fontId="3" type="noConversion"/>
  </si>
  <si>
    <t>淨現值</t>
    <phoneticPr fontId="3" type="noConversion"/>
  </si>
  <si>
    <t>%</t>
    <phoneticPr fontId="3" type="noConversion"/>
  </si>
  <si>
    <t>行駛里程補助</t>
    <phoneticPr fontId="3" type="noConversion"/>
  </si>
  <si>
    <t>新臺幣/公里</t>
    <phoneticPr fontId="3" type="noConversion"/>
  </si>
  <si>
    <t>基礎設施建置費(一次性投資)：充電站設置</t>
    <phoneticPr fontId="3" type="noConversion"/>
  </si>
  <si>
    <t>基礎設施建置費(一次性投資)：場站設置</t>
    <phoneticPr fontId="3" type="noConversion"/>
  </si>
  <si>
    <t>(or) 基礎設施建置費(分年攤還)：充電站設置</t>
    <phoneticPr fontId="3" type="noConversion"/>
  </si>
  <si>
    <t>(or) 基礎設施建置費(分年攤還)：場站設置</t>
    <phoneticPr fontId="3" type="noConversion"/>
  </si>
  <si>
    <t>電池建置費</t>
    <phoneticPr fontId="3" type="noConversion"/>
  </si>
  <si>
    <t>電池購置單價</t>
    <phoneticPr fontId="3" type="noConversion"/>
  </si>
  <si>
    <t>電池容量</t>
    <phoneticPr fontId="3" type="noConversion"/>
  </si>
  <si>
    <t>$/kWh</t>
    <phoneticPr fontId="3" type="noConversion"/>
  </si>
  <si>
    <t>kWh</t>
    <phoneticPr fontId="3" type="noConversion"/>
  </si>
  <si>
    <t>使用期間能源成本現值</t>
  </si>
  <si>
    <t>使用期間能源成本現值</t>
    <phoneticPr fontId="3" type="noConversion"/>
  </si>
  <si>
    <t>電池更換單價(購置年份價格)</t>
    <phoneticPr fontId="3" type="noConversion"/>
  </si>
  <si>
    <r>
      <t>其他成本補助 (</t>
    </r>
    <r>
      <rPr>
        <i/>
        <sz val="11"/>
        <rFont val="新細明體"/>
        <family val="1"/>
        <charset val="136"/>
        <scheme val="minor"/>
      </rPr>
      <t>按左邊"+"以拉伸</t>
    </r>
    <r>
      <rPr>
        <sz val="11"/>
        <rFont val="新細明體"/>
        <family val="1"/>
        <charset val="136"/>
        <scheme val="minor"/>
      </rPr>
      <t>)</t>
    </r>
    <phoneticPr fontId="3" type="noConversion"/>
  </si>
  <si>
    <t>使用條件</t>
    <phoneticPr fontId="3" type="noConversion"/>
  </si>
  <si>
    <t>撥款年/金額</t>
    <phoneticPr fontId="3" type="noConversion"/>
  </si>
  <si>
    <t>補助內容</t>
    <phoneticPr fontId="3" type="noConversion"/>
  </si>
  <si>
    <r>
      <rPr>
        <b/>
        <i/>
        <sz val="10"/>
        <color rgb="FF000000"/>
        <rFont val="細明體"/>
        <family val="3"/>
        <charset val="136"/>
      </rPr>
      <t>美國能源資訊管理局</t>
    </r>
    <r>
      <rPr>
        <b/>
        <i/>
        <sz val="10"/>
        <color rgb="FF000000"/>
        <rFont val="Calibri"/>
        <family val="2"/>
      </rPr>
      <t xml:space="preserve"> US energy information administration</t>
    </r>
    <phoneticPr fontId="3" type="noConversion"/>
  </si>
  <si>
    <t>€/kWh</t>
    <phoneticPr fontId="3" type="noConversion"/>
  </si>
  <si>
    <t>貨物稅</t>
    <phoneticPr fontId="3" type="noConversion"/>
  </si>
  <si>
    <t>參考資料：</t>
    <phoneticPr fontId="3" type="noConversion"/>
  </si>
  <si>
    <t>交通部公路公共運輸補助電動大客車作業要點</t>
    <phoneticPr fontId="3" type="noConversion"/>
  </si>
  <si>
    <t>中華民國108年8月29日交通部交路字第 10850110841號令修正發布全文11 點，並自即日生效</t>
    <phoneticPr fontId="3" type="noConversion"/>
  </si>
  <si>
    <t>補助前每輛車全生命週期成本</t>
    <phoneticPr fontId="3" type="noConversion"/>
  </si>
  <si>
    <t>補助後每輛車全生命週期成本</t>
    <phoneticPr fontId="3" type="noConversion"/>
  </si>
  <si>
    <t>補助後所有車輛全生命週期成本</t>
    <phoneticPr fontId="3" type="noConversion"/>
  </si>
  <si>
    <t>車體單價</t>
    <phoneticPr fontId="3" type="noConversion"/>
  </si>
  <si>
    <t>凱勝</t>
    <phoneticPr fontId="3" type="noConversion"/>
  </si>
  <si>
    <t>車款 1</t>
    <phoneticPr fontId="3" type="noConversion"/>
  </si>
  <si>
    <t>車款 2</t>
    <phoneticPr fontId="3" type="noConversion"/>
  </si>
  <si>
    <t>車款 3</t>
    <phoneticPr fontId="3" type="noConversion"/>
  </si>
  <si>
    <t>車款 4</t>
    <phoneticPr fontId="3" type="noConversion"/>
  </si>
  <si>
    <t>華德</t>
    <phoneticPr fontId="3" type="noConversion"/>
  </si>
  <si>
    <t>總盈</t>
    <phoneticPr fontId="3" type="noConversion"/>
  </si>
  <si>
    <t>創奕</t>
    <phoneticPr fontId="3" type="noConversion"/>
  </si>
  <si>
    <t>2013-2018</t>
    <phoneticPr fontId="3" type="noConversion"/>
  </si>
  <si>
    <t>BNEF Battery Price Survey 2018.12</t>
    <phoneticPr fontId="3" type="noConversion"/>
  </si>
  <si>
    <t>2019-2040</t>
    <phoneticPr fontId="3" type="noConversion"/>
  </si>
  <si>
    <r>
      <t xml:space="preserve">Li-ion batteries for mobility and stationary storage applications，Table 14 Li-ion battery pack cost trajectories, in </t>
    </r>
    <r>
      <rPr>
        <sz val="12"/>
        <color theme="1"/>
        <rFont val="新細明體"/>
        <family val="3"/>
        <charset val="136"/>
        <scheme val="minor"/>
      </rPr>
      <t>€</t>
    </r>
    <r>
      <rPr>
        <sz val="12"/>
        <color theme="1"/>
        <rFont val="新細明體"/>
        <family val="2"/>
        <charset val="136"/>
        <scheme val="minor"/>
      </rPr>
      <t>/kWh</t>
    </r>
    <phoneticPr fontId="3" type="noConversion"/>
  </si>
  <si>
    <t>鋰電池價格趨勢</t>
    <phoneticPr fontId="3" type="noConversion"/>
  </si>
  <si>
    <t>比較基準(現行燃油)車款</t>
    <phoneticPr fontId="3" type="noConversion"/>
  </si>
  <si>
    <t>補助後最低成本車款</t>
    <phoneticPr fontId="3" type="noConversion"/>
  </si>
  <si>
    <t>參考補助值</t>
    <phoneticPr fontId="3" type="noConversion"/>
  </si>
  <si>
    <t>$/km</t>
    <phoneticPr fontId="3" type="noConversion"/>
  </si>
  <si>
    <t>每公里平均保養費用</t>
    <phoneticPr fontId="3" type="noConversion"/>
  </si>
  <si>
    <t>外包</t>
  </si>
  <si>
    <t>保養方式(外包/自行保養)</t>
    <phoneticPr fontId="3" type="noConversion"/>
  </si>
  <si>
    <r>
      <rPr>
        <b/>
        <sz val="12"/>
        <rFont val="新細明體"/>
        <family val="1"/>
        <charset val="136"/>
      </rPr>
      <t>車款</t>
    </r>
    <r>
      <rPr>
        <b/>
        <sz val="12"/>
        <rFont val="Times New Roman"/>
        <family val="1"/>
      </rPr>
      <t xml:space="preserve"> 1</t>
    </r>
  </si>
  <si>
    <r>
      <rPr>
        <b/>
        <sz val="12"/>
        <rFont val="新細明體"/>
        <family val="1"/>
        <charset val="136"/>
      </rPr>
      <t>車款</t>
    </r>
    <r>
      <rPr>
        <b/>
        <sz val="12"/>
        <rFont val="Times New Roman"/>
        <family val="1"/>
      </rPr>
      <t xml:space="preserve"> 2</t>
    </r>
  </si>
  <si>
    <r>
      <rPr>
        <b/>
        <sz val="12"/>
        <rFont val="新細明體"/>
        <family val="1"/>
        <charset val="136"/>
      </rPr>
      <t>車款</t>
    </r>
    <r>
      <rPr>
        <b/>
        <sz val="12"/>
        <rFont val="Times New Roman"/>
        <family val="1"/>
      </rPr>
      <t xml:space="preserve"> 3</t>
    </r>
  </si>
  <si>
    <r>
      <rPr>
        <b/>
        <sz val="12"/>
        <rFont val="新細明體"/>
        <family val="1"/>
        <charset val="136"/>
      </rPr>
      <t>車款</t>
    </r>
    <r>
      <rPr>
        <b/>
        <sz val="12"/>
        <rFont val="Times New Roman"/>
        <family val="1"/>
      </rPr>
      <t xml:space="preserve"> 4</t>
    </r>
  </si>
  <si>
    <r>
      <rPr>
        <b/>
        <sz val="12"/>
        <rFont val="新細明體"/>
        <family val="1"/>
        <charset val="136"/>
      </rPr>
      <t>車款</t>
    </r>
    <r>
      <rPr>
        <b/>
        <sz val="12"/>
        <rFont val="Times New Roman"/>
        <family val="1"/>
      </rPr>
      <t xml:space="preserve"> 5</t>
    </r>
  </si>
  <si>
    <r>
      <rPr>
        <b/>
        <sz val="12"/>
        <rFont val="新細明體"/>
        <family val="1"/>
        <charset val="136"/>
      </rPr>
      <t>車款</t>
    </r>
    <r>
      <rPr>
        <b/>
        <sz val="12"/>
        <rFont val="Times New Roman"/>
        <family val="1"/>
      </rPr>
      <t xml:space="preserve"> 6</t>
    </r>
  </si>
  <si>
    <r>
      <rPr>
        <b/>
        <sz val="12"/>
        <rFont val="新細明體"/>
        <family val="1"/>
        <charset val="136"/>
      </rPr>
      <t>車款</t>
    </r>
    <r>
      <rPr>
        <b/>
        <sz val="12"/>
        <rFont val="Times New Roman"/>
        <family val="1"/>
      </rPr>
      <t xml:space="preserve"> 7</t>
    </r>
  </si>
  <si>
    <r>
      <rPr>
        <b/>
        <sz val="12"/>
        <rFont val="新細明體"/>
        <family val="1"/>
        <charset val="136"/>
      </rPr>
      <t>車款</t>
    </r>
    <r>
      <rPr>
        <b/>
        <sz val="12"/>
        <rFont val="Times New Roman"/>
        <family val="1"/>
      </rPr>
      <t xml:space="preserve"> 8</t>
    </r>
  </si>
  <si>
    <r>
      <rPr>
        <b/>
        <sz val="12"/>
        <rFont val="新細明體"/>
        <family val="1"/>
        <charset val="136"/>
      </rPr>
      <t>車款</t>
    </r>
    <r>
      <rPr>
        <b/>
        <sz val="12"/>
        <rFont val="Times New Roman"/>
        <family val="1"/>
      </rPr>
      <t xml:space="preserve"> 9</t>
    </r>
  </si>
  <si>
    <r>
      <rPr>
        <b/>
        <sz val="12"/>
        <rFont val="新細明體"/>
        <family val="1"/>
        <charset val="136"/>
      </rPr>
      <t>車款</t>
    </r>
    <r>
      <rPr>
        <b/>
        <sz val="12"/>
        <rFont val="Times New Roman"/>
        <family val="1"/>
      </rPr>
      <t xml:space="preserve"> 10</t>
    </r>
    <phoneticPr fontId="3" type="noConversion"/>
  </si>
  <si>
    <r>
      <rPr>
        <sz val="12"/>
        <rFont val="新細明體"/>
        <family val="1"/>
        <charset val="136"/>
      </rPr>
      <t>能源種類</t>
    </r>
    <phoneticPr fontId="3" type="noConversion"/>
  </si>
  <si>
    <r>
      <rPr>
        <sz val="12"/>
        <rFont val="新細明體"/>
        <family val="1"/>
        <charset val="136"/>
      </rPr>
      <t>每年燃料費用</t>
    </r>
    <phoneticPr fontId="3" type="noConversion"/>
  </si>
  <si>
    <r>
      <rPr>
        <sz val="12"/>
        <rFont val="新細明體"/>
        <family val="1"/>
        <charset val="136"/>
      </rPr>
      <t>更換電池成本攤提</t>
    </r>
    <phoneticPr fontId="3" type="noConversion"/>
  </si>
  <si>
    <r>
      <rPr>
        <sz val="12"/>
        <rFont val="新細明體"/>
        <family val="1"/>
        <charset val="136"/>
      </rPr>
      <t>能源使用總費用</t>
    </r>
    <phoneticPr fontId="3" type="noConversion"/>
  </si>
  <si>
    <r>
      <rPr>
        <sz val="12"/>
        <rFont val="新細明體"/>
        <family val="1"/>
        <charset val="136"/>
      </rPr>
      <t>能源使用總費用現值</t>
    </r>
    <phoneticPr fontId="3" type="noConversion"/>
  </si>
  <si>
    <r>
      <rPr>
        <b/>
        <sz val="12"/>
        <rFont val="新細明體"/>
        <family val="1"/>
        <charset val="136"/>
      </rPr>
      <t>使用期間能源成本</t>
    </r>
    <phoneticPr fontId="3" type="noConversion"/>
  </si>
  <si>
    <r>
      <rPr>
        <sz val="12"/>
        <rFont val="新細明體"/>
        <family val="1"/>
        <charset val="136"/>
      </rPr>
      <t>柴油</t>
    </r>
    <phoneticPr fontId="3" type="noConversion"/>
  </si>
  <si>
    <r>
      <rPr>
        <sz val="12"/>
        <rFont val="新細明體"/>
        <family val="1"/>
        <charset val="136"/>
      </rPr>
      <t>汽油</t>
    </r>
    <phoneticPr fontId="3" type="noConversion"/>
  </si>
  <si>
    <r>
      <rPr>
        <sz val="12"/>
        <rFont val="新細明體"/>
        <family val="1"/>
        <charset val="136"/>
      </rPr>
      <t>電力</t>
    </r>
    <phoneticPr fontId="3" type="noConversion"/>
  </si>
  <si>
    <r>
      <rPr>
        <b/>
        <sz val="12"/>
        <rFont val="新細明體"/>
        <family val="1"/>
        <charset val="136"/>
      </rPr>
      <t>使用期間能源成本現值</t>
    </r>
    <phoneticPr fontId="3" type="noConversion"/>
  </si>
  <si>
    <r>
      <rPr>
        <b/>
        <sz val="12"/>
        <color rgb="FF000000"/>
        <rFont val="新細明體"/>
        <family val="1"/>
        <charset val="136"/>
      </rPr>
      <t>各年度成本現值</t>
    </r>
    <phoneticPr fontId="3" type="noConversion"/>
  </si>
  <si>
    <r>
      <rPr>
        <b/>
        <sz val="12"/>
        <color rgb="FF000000"/>
        <rFont val="新細明體"/>
        <family val="1"/>
        <charset val="136"/>
      </rPr>
      <t>車款</t>
    </r>
    <r>
      <rPr>
        <b/>
        <sz val="12"/>
        <color rgb="FF000000"/>
        <rFont val="Times New Roman"/>
        <family val="1"/>
      </rPr>
      <t xml:space="preserve"> 1</t>
    </r>
  </si>
  <si>
    <r>
      <rPr>
        <b/>
        <sz val="12"/>
        <color rgb="FF000000"/>
        <rFont val="新細明體"/>
        <family val="1"/>
        <charset val="136"/>
      </rPr>
      <t>車款</t>
    </r>
    <r>
      <rPr>
        <b/>
        <sz val="12"/>
        <color rgb="FF000000"/>
        <rFont val="Times New Roman"/>
        <family val="1"/>
      </rPr>
      <t xml:space="preserve"> 2</t>
    </r>
  </si>
  <si>
    <r>
      <rPr>
        <b/>
        <sz val="12"/>
        <color rgb="FF000000"/>
        <rFont val="新細明體"/>
        <family val="1"/>
        <charset val="136"/>
      </rPr>
      <t>車款</t>
    </r>
    <r>
      <rPr>
        <b/>
        <sz val="12"/>
        <color rgb="FF000000"/>
        <rFont val="Times New Roman"/>
        <family val="1"/>
      </rPr>
      <t xml:space="preserve"> 3</t>
    </r>
  </si>
  <si>
    <r>
      <rPr>
        <b/>
        <sz val="12"/>
        <color rgb="FF000000"/>
        <rFont val="新細明體"/>
        <family val="1"/>
        <charset val="136"/>
      </rPr>
      <t>車款</t>
    </r>
    <r>
      <rPr>
        <b/>
        <sz val="12"/>
        <color rgb="FF000000"/>
        <rFont val="Times New Roman"/>
        <family val="1"/>
      </rPr>
      <t xml:space="preserve"> 4</t>
    </r>
  </si>
  <si>
    <r>
      <rPr>
        <b/>
        <sz val="12"/>
        <color rgb="FF000000"/>
        <rFont val="新細明體"/>
        <family val="1"/>
        <charset val="136"/>
      </rPr>
      <t>車款</t>
    </r>
    <r>
      <rPr>
        <b/>
        <sz val="12"/>
        <color rgb="FF000000"/>
        <rFont val="Times New Roman"/>
        <family val="1"/>
      </rPr>
      <t xml:space="preserve"> 5</t>
    </r>
  </si>
  <si>
    <r>
      <rPr>
        <b/>
        <sz val="12"/>
        <color rgb="FF000000"/>
        <rFont val="新細明體"/>
        <family val="1"/>
        <charset val="136"/>
      </rPr>
      <t>車款</t>
    </r>
    <r>
      <rPr>
        <b/>
        <sz val="12"/>
        <color rgb="FF000000"/>
        <rFont val="Times New Roman"/>
        <family val="1"/>
      </rPr>
      <t xml:space="preserve"> 6</t>
    </r>
  </si>
  <si>
    <r>
      <rPr>
        <b/>
        <sz val="12"/>
        <color rgb="FF000000"/>
        <rFont val="新細明體"/>
        <family val="1"/>
        <charset val="136"/>
      </rPr>
      <t>車款</t>
    </r>
    <r>
      <rPr>
        <b/>
        <sz val="12"/>
        <color rgb="FF000000"/>
        <rFont val="Times New Roman"/>
        <family val="1"/>
      </rPr>
      <t xml:space="preserve"> 7</t>
    </r>
  </si>
  <si>
    <r>
      <rPr>
        <b/>
        <sz val="12"/>
        <color rgb="FF000000"/>
        <rFont val="新細明體"/>
        <family val="1"/>
        <charset val="136"/>
      </rPr>
      <t>車款</t>
    </r>
    <r>
      <rPr>
        <b/>
        <sz val="12"/>
        <color rgb="FF000000"/>
        <rFont val="Times New Roman"/>
        <family val="1"/>
      </rPr>
      <t xml:space="preserve"> 8</t>
    </r>
  </si>
  <si>
    <r>
      <rPr>
        <b/>
        <sz val="12"/>
        <color rgb="FF000000"/>
        <rFont val="新細明體"/>
        <family val="1"/>
        <charset val="136"/>
      </rPr>
      <t>車款</t>
    </r>
    <r>
      <rPr>
        <b/>
        <sz val="12"/>
        <color rgb="FF000000"/>
        <rFont val="Times New Roman"/>
        <family val="1"/>
      </rPr>
      <t xml:space="preserve"> 9</t>
    </r>
  </si>
  <si>
    <r>
      <rPr>
        <b/>
        <sz val="12"/>
        <color rgb="FF000000"/>
        <rFont val="新細明體"/>
        <family val="1"/>
        <charset val="136"/>
      </rPr>
      <t>車款</t>
    </r>
    <r>
      <rPr>
        <b/>
        <sz val="12"/>
        <color rgb="FF000000"/>
        <rFont val="Times New Roman"/>
        <family val="1"/>
      </rPr>
      <t xml:space="preserve"> 10</t>
    </r>
  </si>
  <si>
    <r>
      <rPr>
        <b/>
        <sz val="12"/>
        <color rgb="FF000000"/>
        <rFont val="新細明體"/>
        <family val="1"/>
        <charset val="136"/>
      </rPr>
      <t>年度累積成本現值</t>
    </r>
    <phoneticPr fontId="3" type="noConversion"/>
  </si>
  <si>
    <r>
      <rPr>
        <sz val="12"/>
        <color theme="1"/>
        <rFont val="新細明體"/>
        <family val="1"/>
        <charset val="136"/>
      </rPr>
      <t>保養方式</t>
    </r>
    <phoneticPr fontId="3" type="noConversion"/>
  </si>
  <si>
    <r>
      <rPr>
        <sz val="12"/>
        <color theme="1"/>
        <rFont val="新細明體"/>
        <family val="1"/>
        <charset val="136"/>
      </rPr>
      <t>外包</t>
    </r>
    <phoneticPr fontId="3" type="noConversion"/>
  </si>
  <si>
    <r>
      <rPr>
        <sz val="12"/>
        <color theme="1"/>
        <rFont val="新細明體"/>
        <family val="1"/>
        <charset val="136"/>
      </rPr>
      <t>自行保養</t>
    </r>
    <phoneticPr fontId="3" type="noConversion"/>
  </si>
  <si>
    <r>
      <rPr>
        <b/>
        <sz val="10"/>
        <rFont val="新細明體"/>
        <family val="1"/>
        <charset val="136"/>
      </rPr>
      <t>能源種類</t>
    </r>
    <phoneticPr fontId="3" type="noConversion"/>
  </si>
  <si>
    <r>
      <rPr>
        <b/>
        <sz val="10"/>
        <rFont val="新細明體"/>
        <family val="1"/>
        <charset val="136"/>
      </rPr>
      <t>能源密度</t>
    </r>
    <phoneticPr fontId="3" type="noConversion"/>
  </si>
  <si>
    <r>
      <rPr>
        <b/>
        <sz val="10"/>
        <rFont val="新細明體"/>
        <family val="1"/>
        <charset val="136"/>
      </rPr>
      <t>能源密度單位</t>
    </r>
    <phoneticPr fontId="3" type="noConversion"/>
  </si>
  <si>
    <r>
      <rPr>
        <b/>
        <sz val="10"/>
        <rFont val="新細明體"/>
        <family val="1"/>
        <charset val="136"/>
      </rPr>
      <t>能源消耗單位</t>
    </r>
    <phoneticPr fontId="3" type="noConversion"/>
  </si>
  <si>
    <r>
      <rPr>
        <b/>
        <sz val="10"/>
        <rFont val="新細明體"/>
        <family val="1"/>
        <charset val="136"/>
      </rPr>
      <t>能源單價</t>
    </r>
    <phoneticPr fontId="3" type="noConversion"/>
  </si>
  <si>
    <r>
      <rPr>
        <b/>
        <sz val="10"/>
        <rFont val="新細明體"/>
        <family val="1"/>
        <charset val="136"/>
      </rPr>
      <t>車款</t>
    </r>
    <r>
      <rPr>
        <b/>
        <sz val="10"/>
        <rFont val="Times New Roman"/>
        <family val="1"/>
      </rPr>
      <t xml:space="preserve"> 1</t>
    </r>
  </si>
  <si>
    <r>
      <rPr>
        <b/>
        <sz val="10"/>
        <rFont val="新細明體"/>
        <family val="1"/>
        <charset val="136"/>
      </rPr>
      <t>車款</t>
    </r>
    <r>
      <rPr>
        <b/>
        <sz val="10"/>
        <rFont val="Times New Roman"/>
        <family val="1"/>
      </rPr>
      <t xml:space="preserve"> 2</t>
    </r>
  </si>
  <si>
    <r>
      <rPr>
        <b/>
        <sz val="10"/>
        <rFont val="新細明體"/>
        <family val="1"/>
        <charset val="136"/>
      </rPr>
      <t>車款</t>
    </r>
    <r>
      <rPr>
        <b/>
        <sz val="10"/>
        <rFont val="Times New Roman"/>
        <family val="1"/>
      </rPr>
      <t xml:space="preserve"> 3</t>
    </r>
  </si>
  <si>
    <r>
      <rPr>
        <b/>
        <sz val="10"/>
        <rFont val="新細明體"/>
        <family val="1"/>
        <charset val="136"/>
      </rPr>
      <t>車款</t>
    </r>
    <r>
      <rPr>
        <b/>
        <sz val="10"/>
        <rFont val="Times New Roman"/>
        <family val="1"/>
      </rPr>
      <t xml:space="preserve"> 4</t>
    </r>
  </si>
  <si>
    <r>
      <rPr>
        <b/>
        <sz val="10"/>
        <rFont val="新細明體"/>
        <family val="1"/>
        <charset val="136"/>
      </rPr>
      <t>車款</t>
    </r>
    <r>
      <rPr>
        <b/>
        <sz val="10"/>
        <rFont val="Times New Roman"/>
        <family val="1"/>
      </rPr>
      <t xml:space="preserve"> 5</t>
    </r>
  </si>
  <si>
    <r>
      <rPr>
        <b/>
        <sz val="10"/>
        <rFont val="新細明體"/>
        <family val="1"/>
        <charset val="136"/>
      </rPr>
      <t>車款</t>
    </r>
    <r>
      <rPr>
        <b/>
        <sz val="10"/>
        <rFont val="Times New Roman"/>
        <family val="1"/>
      </rPr>
      <t xml:space="preserve"> 6</t>
    </r>
  </si>
  <si>
    <r>
      <rPr>
        <b/>
        <sz val="10"/>
        <rFont val="新細明體"/>
        <family val="1"/>
        <charset val="136"/>
      </rPr>
      <t>車款</t>
    </r>
    <r>
      <rPr>
        <b/>
        <sz val="10"/>
        <rFont val="Times New Roman"/>
        <family val="1"/>
      </rPr>
      <t xml:space="preserve"> 7</t>
    </r>
  </si>
  <si>
    <r>
      <rPr>
        <b/>
        <sz val="10"/>
        <rFont val="新細明體"/>
        <family val="1"/>
        <charset val="136"/>
      </rPr>
      <t>車款</t>
    </r>
    <r>
      <rPr>
        <b/>
        <sz val="10"/>
        <rFont val="Times New Roman"/>
        <family val="1"/>
      </rPr>
      <t xml:space="preserve"> 8</t>
    </r>
  </si>
  <si>
    <r>
      <rPr>
        <b/>
        <sz val="10"/>
        <rFont val="新細明體"/>
        <family val="1"/>
        <charset val="136"/>
      </rPr>
      <t>車款</t>
    </r>
    <r>
      <rPr>
        <b/>
        <sz val="10"/>
        <rFont val="Times New Roman"/>
        <family val="1"/>
      </rPr>
      <t xml:space="preserve"> 9</t>
    </r>
  </si>
  <si>
    <r>
      <rPr>
        <b/>
        <sz val="10"/>
        <rFont val="新細明體"/>
        <family val="1"/>
        <charset val="136"/>
      </rPr>
      <t>車款</t>
    </r>
    <r>
      <rPr>
        <b/>
        <sz val="10"/>
        <rFont val="Times New Roman"/>
        <family val="1"/>
      </rPr>
      <t xml:space="preserve"> 10</t>
    </r>
    <phoneticPr fontId="3" type="noConversion"/>
  </si>
  <si>
    <t>`</t>
    <phoneticPr fontId="3" type="noConversion"/>
  </si>
  <si>
    <t>車款1</t>
    <phoneticPr fontId="3" type="noConversion"/>
  </si>
  <si>
    <t>車款2</t>
    <phoneticPr fontId="3" type="noConversion"/>
  </si>
  <si>
    <t>車款3</t>
    <phoneticPr fontId="3" type="noConversion"/>
  </si>
  <si>
    <t>車款4</t>
    <phoneticPr fontId="3" type="noConversion"/>
  </si>
  <si>
    <t>車款5</t>
    <phoneticPr fontId="3" type="noConversion"/>
  </si>
  <si>
    <t>資產</t>
    <phoneticPr fontId="3" type="noConversion"/>
  </si>
  <si>
    <t>運行</t>
    <phoneticPr fontId="3" type="noConversion"/>
  </si>
  <si>
    <t>保養</t>
    <phoneticPr fontId="3" type="noConversion"/>
  </si>
  <si>
    <t>加總</t>
    <phoneticPr fontId="3" type="noConversion"/>
  </si>
  <si>
    <t>解構</t>
    <phoneticPr fontId="3" type="noConversion"/>
  </si>
  <si>
    <t>車體</t>
    <phoneticPr fontId="3" type="noConversion"/>
  </si>
  <si>
    <t>資產%</t>
    <phoneticPr fontId="3" type="noConversion"/>
  </si>
  <si>
    <t>運行%</t>
    <phoneticPr fontId="3" type="noConversion"/>
  </si>
  <si>
    <t>保養%</t>
    <phoneticPr fontId="3" type="noConversion"/>
  </si>
  <si>
    <t>車體%</t>
    <phoneticPr fontId="3" type="noConversion"/>
  </si>
  <si>
    <t>電池%</t>
    <phoneticPr fontId="3" type="noConversion"/>
  </si>
  <si>
    <t>充電站</t>
    <phoneticPr fontId="3" type="noConversion"/>
  </si>
  <si>
    <t>充電站%</t>
    <phoneticPr fontId="3" type="noConversion"/>
  </si>
  <si>
    <t>運+保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</si>
</sst>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_(* #,##0.00_);_(* \(#,##0.00\);_(* &quot;-&quot;??_);_(@_)"/>
    <numFmt numFmtId="177" formatCode="_-&quot;$&quot;* #,##0_-;\-&quot;$&quot;* #,##0_-;_-&quot;$&quot;* &quot;-&quot;??_-;_-@_-"/>
    <numFmt numFmtId="178" formatCode="_-* #,##0_-;\-* #,##0_-;_-* &quot;-&quot;??_-;_-@_-"/>
    <numFmt numFmtId="179" formatCode="_-[$$-404]* #,##0_-;\-[$$-404]* #,##0_-;_-[$$-404]* &quot;-&quot;??_-;_-@_-"/>
    <numFmt numFmtId="180" formatCode="0.0%"/>
  </numFmts>
  <fonts count="5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1"/>
      <color indexed="18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11"/>
      <color indexed="18"/>
      <name val="新細明體"/>
      <family val="2"/>
      <scheme val="minor"/>
    </font>
    <font>
      <sz val="12"/>
      <color rgb="FF00ADEA"/>
      <name val="Webdings"/>
      <family val="1"/>
      <charset val="2"/>
    </font>
    <font>
      <sz val="11"/>
      <name val="新細明體"/>
      <family val="2"/>
      <scheme val="minor"/>
    </font>
    <font>
      <b/>
      <sz val="11"/>
      <name val="新細明體"/>
      <family val="2"/>
      <scheme val="minor"/>
    </font>
    <font>
      <sz val="9"/>
      <name val="新細明體"/>
      <family val="2"/>
      <scheme val="minor"/>
    </font>
    <font>
      <b/>
      <u/>
      <sz val="11"/>
      <name val="新細明體"/>
      <family val="2"/>
      <scheme val="minor"/>
    </font>
    <font>
      <b/>
      <i/>
      <sz val="11"/>
      <name val="新細明體"/>
      <family val="2"/>
      <scheme val="minor"/>
    </font>
    <font>
      <sz val="9"/>
      <name val="Arial"/>
      <family val="2"/>
    </font>
    <font>
      <i/>
      <sz val="11"/>
      <name val="新細明體"/>
      <family val="2"/>
      <scheme val="minor"/>
    </font>
    <font>
      <b/>
      <sz val="9"/>
      <color indexed="18"/>
      <name val="Arial"/>
      <family val="2"/>
    </font>
    <font>
      <sz val="11"/>
      <name val="新細明體"/>
      <family val="1"/>
      <charset val="136"/>
      <scheme val="minor"/>
    </font>
    <font>
      <b/>
      <sz val="12"/>
      <color rgb="FF000000"/>
      <name val="Calibri"/>
      <family val="2"/>
    </font>
    <font>
      <b/>
      <i/>
      <sz val="10"/>
      <color rgb="FF000000"/>
      <name val="Calibri"/>
      <family val="2"/>
    </font>
    <font>
      <b/>
      <sz val="9"/>
      <color rgb="FF000000"/>
      <name val="Arial"/>
      <family val="2"/>
    </font>
    <font>
      <b/>
      <sz val="10"/>
      <color rgb="FF000000"/>
      <name val="Calibri"/>
      <family val="2"/>
    </font>
    <font>
      <sz val="8"/>
      <color rgb="FF000000"/>
      <name val="Calibri"/>
      <family val="2"/>
    </font>
    <font>
      <sz val="9"/>
      <color theme="1"/>
      <name val="新細明體"/>
      <family val="2"/>
      <scheme val="minor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b/>
      <sz val="9"/>
      <color rgb="FF000000"/>
      <name val="Calibri"/>
      <family val="2"/>
    </font>
    <font>
      <b/>
      <sz val="9"/>
      <color rgb="FFFF0000"/>
      <name val="Calibri"/>
      <family val="2"/>
    </font>
    <font>
      <b/>
      <sz val="10"/>
      <color rgb="FF000000"/>
      <name val="細明體"/>
      <family val="3"/>
      <charset val="136"/>
    </font>
    <font>
      <sz val="8"/>
      <color rgb="FF000000"/>
      <name val="細明體"/>
      <family val="3"/>
      <charset val="136"/>
    </font>
    <font>
      <sz val="8"/>
      <color rgb="FF000000"/>
      <name val="Calibri"/>
      <family val="3"/>
      <charset val="136"/>
    </font>
    <font>
      <b/>
      <sz val="12"/>
      <color rgb="FF333333"/>
      <name val="Arial"/>
      <family val="2"/>
    </font>
    <font>
      <b/>
      <vertAlign val="superscript"/>
      <sz val="9"/>
      <color rgb="FF333333"/>
      <name val="Arial"/>
      <family val="2"/>
    </font>
    <font>
      <sz val="12"/>
      <color rgb="FF333333"/>
      <name val="Arial"/>
      <family val="2"/>
    </font>
    <font>
      <i/>
      <sz val="12"/>
      <color rgb="FF333333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細明體"/>
      <family val="3"/>
      <charset val="136"/>
    </font>
    <font>
      <b/>
      <sz val="12"/>
      <color theme="1"/>
      <name val="新細明體"/>
      <family val="1"/>
      <charset val="136"/>
      <scheme val="minor"/>
    </font>
    <font>
      <sz val="11"/>
      <color theme="0"/>
      <name val="新細明體"/>
      <family val="2"/>
      <scheme val="minor"/>
    </font>
    <font>
      <b/>
      <sz val="11"/>
      <color theme="0"/>
      <name val="新細明體"/>
      <family val="1"/>
      <charset val="136"/>
      <scheme val="minor"/>
    </font>
    <font>
      <sz val="11"/>
      <name val="新細明體"/>
      <family val="3"/>
      <charset val="136"/>
      <scheme val="minor"/>
    </font>
    <font>
      <b/>
      <sz val="9"/>
      <color rgb="FF000000"/>
      <name val="細明體"/>
      <family val="3"/>
      <charset val="136"/>
    </font>
    <font>
      <i/>
      <sz val="11"/>
      <name val="新細明體"/>
      <family val="1"/>
      <charset val="136"/>
      <scheme val="minor"/>
    </font>
    <font>
      <b/>
      <i/>
      <sz val="10"/>
      <color rgb="FF000000"/>
      <name val="細明體"/>
      <family val="3"/>
      <charset val="136"/>
    </font>
    <font>
      <b/>
      <i/>
      <sz val="10"/>
      <color rgb="FF000000"/>
      <name val="Calibri"/>
      <family val="3"/>
      <charset val="136"/>
    </font>
    <font>
      <sz val="12"/>
      <color theme="1"/>
      <name val="新細明體"/>
      <family val="2"/>
      <charset val="136"/>
    </font>
    <font>
      <sz val="12"/>
      <color theme="1"/>
      <name val="新細明體"/>
      <family val="3"/>
      <charset val="136"/>
      <scheme val="minor"/>
    </font>
    <font>
      <b/>
      <sz val="12"/>
      <color rgb="FF333333"/>
      <name val="細明體"/>
      <family val="3"/>
      <charset val="136"/>
    </font>
    <font>
      <b/>
      <sz val="11"/>
      <name val="新細明體"/>
      <family val="1"/>
      <charset val="136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b/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rgb="FF000000"/>
      <name val="Times New Roman"/>
      <family val="1"/>
    </font>
    <font>
      <b/>
      <sz val="12"/>
      <color rgb="FF000000"/>
      <name val="新細明體"/>
      <family val="1"/>
      <charset val="136"/>
    </font>
    <font>
      <sz val="12"/>
      <color theme="1"/>
      <name val="新細明體"/>
      <family val="1"/>
      <charset val="136"/>
    </font>
    <font>
      <b/>
      <sz val="10"/>
      <name val="Times New Roman"/>
      <family val="1"/>
    </font>
    <font>
      <b/>
      <sz val="10"/>
      <name val="新細明體"/>
      <family val="1"/>
      <charset val="136"/>
    </font>
  </fonts>
  <fills count="16">
    <fill>
      <patternFill patternType="none"/>
    </fill>
    <fill>
      <patternFill patternType="gray125"/>
    </fill>
    <fill>
      <patternFill patternType="solid">
        <fgColor rgb="FF00ADEA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7ABC3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E48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36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auto="1"/>
      </right>
      <top/>
      <bottom style="thin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rgb="FF00ADEA"/>
      </left>
      <right style="thin">
        <color rgb="FF00ADEA"/>
      </right>
      <top/>
      <bottom style="thin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ashed">
        <color theme="0" tint="-0.24994659260841701"/>
      </bottom>
      <diagonal/>
    </border>
    <border>
      <left/>
      <right style="thin">
        <color indexed="64"/>
      </right>
      <top/>
      <bottom style="dashed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dashed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ck">
        <color rgb="FF0096D7"/>
      </top>
      <bottom style="mediumDashed">
        <color rgb="FFD8D8D8"/>
      </bottom>
      <diagonal/>
    </border>
    <border>
      <left/>
      <right/>
      <top style="mediumDashed">
        <color rgb="FFD8D8D8"/>
      </top>
      <bottom style="mediumDashed">
        <color rgb="FFD8D8D8"/>
      </bottom>
      <diagonal/>
    </border>
    <border>
      <left/>
      <right/>
      <top style="mediumDashed">
        <color rgb="FFD8D8D8"/>
      </top>
      <bottom/>
      <diagonal/>
    </border>
    <border>
      <left/>
      <right/>
      <top/>
      <bottom style="mediumDashed">
        <color rgb="FFD8D8D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rgb="FF00ADEA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thin">
        <color rgb="FFFFDD71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  <border>
      <left style="thin">
        <color indexed="64"/>
      </left>
      <right/>
      <top/>
      <bottom/>
      <diagonal/>
    </border>
  </borders>
  <cellStyleXfs count="10">
    <xf numFmtId="0" fontId="0" fillId="0" borderId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3"/>
    <xf numFmtId="0" fontId="13" fillId="8" borderId="5" applyNumberFormat="0" applyAlignment="0" applyProtection="0">
      <protection locked="0"/>
    </xf>
    <xf numFmtId="0" fontId="15" fillId="0" borderId="0"/>
    <xf numFmtId="0" fontId="20" fillId="0" borderId="14" applyNumberFormat="0" applyFont="0" applyProtection="0">
      <alignment wrapText="1"/>
    </xf>
    <xf numFmtId="9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0" fontId="16" fillId="0" borderId="0" xfId="5" applyFont="1" applyAlignment="1">
      <alignment horizontal="left" wrapText="1"/>
    </xf>
    <xf numFmtId="0" fontId="15" fillId="0" borderId="0" xfId="5" applyAlignment="1">
      <alignment horizontal="center"/>
    </xf>
    <xf numFmtId="2" fontId="15" fillId="0" borderId="0" xfId="5" applyNumberFormat="1" applyAlignment="1">
      <alignment horizontal="center"/>
    </xf>
    <xf numFmtId="4" fontId="17" fillId="0" borderId="0" xfId="5" applyNumberFormat="1" applyFont="1" applyAlignment="1">
      <alignment horizontal="center"/>
    </xf>
    <xf numFmtId="4" fontId="15" fillId="0" borderId="0" xfId="5" applyNumberFormat="1" applyAlignment="1">
      <alignment horizontal="center"/>
    </xf>
    <xf numFmtId="0" fontId="18" fillId="0" borderId="0" xfId="5" applyFont="1" applyAlignment="1">
      <alignment horizontal="left"/>
    </xf>
    <xf numFmtId="0" fontId="19" fillId="0" borderId="0" xfId="5" applyFont="1" applyAlignment="1">
      <alignment horizontal="left"/>
    </xf>
    <xf numFmtId="2" fontId="15" fillId="0" borderId="0" xfId="2" applyNumberFormat="1" applyFont="1" applyAlignment="1">
      <alignment horizontal="center"/>
    </xf>
    <xf numFmtId="0" fontId="18" fillId="0" borderId="0" xfId="5" applyFont="1" applyAlignment="1">
      <alignment horizontal="center"/>
    </xf>
    <xf numFmtId="0" fontId="18" fillId="0" borderId="9" xfId="5" applyFont="1" applyBorder="1"/>
    <xf numFmtId="0" fontId="18" fillId="0" borderId="10" xfId="5" applyFont="1" applyBorder="1" applyAlignment="1">
      <alignment horizontal="center"/>
    </xf>
    <xf numFmtId="0" fontId="18" fillId="10" borderId="11" xfId="5" applyFont="1" applyFill="1" applyBorder="1" applyAlignment="1">
      <alignment horizontal="center"/>
    </xf>
    <xf numFmtId="0" fontId="18" fillId="11" borderId="11" xfId="5" applyFont="1" applyFill="1" applyBorder="1" applyAlignment="1">
      <alignment horizontal="center"/>
    </xf>
    <xf numFmtId="0" fontId="18" fillId="0" borderId="7" xfId="5" applyFont="1" applyBorder="1" applyAlignment="1">
      <alignment horizontal="left"/>
    </xf>
    <xf numFmtId="0" fontId="19" fillId="0" borderId="13" xfId="5" applyFont="1" applyBorder="1" applyAlignment="1">
      <alignment horizontal="left"/>
    </xf>
    <xf numFmtId="2" fontId="20" fillId="10" borderId="15" xfId="6" applyNumberFormat="1" applyFill="1" applyBorder="1" applyAlignment="1">
      <alignment horizontal="center" wrapText="1"/>
    </xf>
    <xf numFmtId="2" fontId="20" fillId="10" borderId="16" xfId="6" applyNumberFormat="1" applyFill="1" applyBorder="1" applyAlignment="1">
      <alignment horizontal="center" wrapText="1"/>
    </xf>
    <xf numFmtId="2" fontId="20" fillId="11" borderId="16" xfId="6" applyNumberFormat="1" applyFill="1" applyBorder="1" applyAlignment="1">
      <alignment horizontal="center" wrapText="1"/>
    </xf>
    <xf numFmtId="2" fontId="20" fillId="11" borderId="15" xfId="6" applyNumberFormat="1" applyFill="1" applyBorder="1" applyAlignment="1">
      <alignment horizontal="center" wrapText="1"/>
    </xf>
    <xf numFmtId="0" fontId="21" fillId="0" borderId="13" xfId="5" applyFont="1" applyBorder="1" applyAlignment="1">
      <alignment horizontal="right"/>
    </xf>
    <xf numFmtId="2" fontId="21" fillId="10" borderId="7" xfId="5" applyNumberFormat="1" applyFont="1" applyFill="1" applyBorder="1" applyAlignment="1">
      <alignment horizontal="center"/>
    </xf>
    <xf numFmtId="10" fontId="22" fillId="10" borderId="13" xfId="7" applyNumberFormat="1" applyFont="1" applyFill="1" applyBorder="1" applyAlignment="1">
      <alignment horizontal="center"/>
    </xf>
    <xf numFmtId="10" fontId="22" fillId="11" borderId="13" xfId="7" applyNumberFormat="1" applyFont="1" applyFill="1" applyBorder="1" applyAlignment="1">
      <alignment horizontal="center"/>
    </xf>
    <xf numFmtId="10" fontId="22" fillId="11" borderId="7" xfId="7" applyNumberFormat="1" applyFont="1" applyFill="1" applyBorder="1" applyAlignment="1">
      <alignment horizontal="center"/>
    </xf>
    <xf numFmtId="0" fontId="18" fillId="0" borderId="10" xfId="5" applyFont="1" applyBorder="1" applyAlignment="1">
      <alignment horizontal="left"/>
    </xf>
    <xf numFmtId="0" fontId="19" fillId="0" borderId="17" xfId="5" applyFont="1" applyBorder="1" applyAlignment="1">
      <alignment horizontal="left"/>
    </xf>
    <xf numFmtId="2" fontId="15" fillId="10" borderId="10" xfId="5" applyNumberFormat="1" applyFill="1" applyBorder="1" applyAlignment="1">
      <alignment horizontal="center"/>
    </xf>
    <xf numFmtId="10" fontId="23" fillId="10" borderId="17" xfId="7" applyNumberFormat="1" applyFont="1" applyFill="1" applyBorder="1" applyAlignment="1">
      <alignment horizontal="center"/>
    </xf>
    <xf numFmtId="10" fontId="24" fillId="11" borderId="17" xfId="7" applyNumberFormat="1" applyFont="1" applyFill="1" applyBorder="1" applyAlignment="1">
      <alignment horizontal="center"/>
    </xf>
    <xf numFmtId="0" fontId="15" fillId="10" borderId="7" xfId="5" applyFill="1" applyBorder="1" applyAlignment="1">
      <alignment horizontal="center"/>
    </xf>
    <xf numFmtId="0" fontId="22" fillId="0" borderId="13" xfId="5" applyFont="1" applyBorder="1" applyAlignment="1">
      <alignment horizontal="left"/>
    </xf>
    <xf numFmtId="0" fontId="25" fillId="0" borderId="0" xfId="5" applyFont="1" applyAlignment="1">
      <alignment horizontal="left"/>
    </xf>
    <xf numFmtId="0" fontId="25" fillId="0" borderId="7" xfId="5" applyFont="1" applyBorder="1" applyAlignment="1">
      <alignment horizontal="left"/>
    </xf>
    <xf numFmtId="2" fontId="15" fillId="10" borderId="7" xfId="5" applyNumberFormat="1" applyFill="1" applyBorder="1" applyAlignment="1">
      <alignment horizontal="center"/>
    </xf>
    <xf numFmtId="0" fontId="26" fillId="0" borderId="13" xfId="5" applyFont="1" applyBorder="1" applyAlignment="1">
      <alignment horizontal="left" wrapText="1"/>
    </xf>
    <xf numFmtId="0" fontId="27" fillId="0" borderId="13" xfId="5" applyFont="1" applyBorder="1" applyAlignment="1">
      <alignment horizontal="left" wrapText="1"/>
    </xf>
    <xf numFmtId="0" fontId="27" fillId="0" borderId="17" xfId="5" applyFont="1" applyBorder="1" applyAlignment="1">
      <alignment horizontal="left" wrapText="1"/>
    </xf>
    <xf numFmtId="0" fontId="23" fillId="0" borderId="18" xfId="5" applyFont="1" applyBorder="1" applyAlignment="1">
      <alignment horizontal="center"/>
    </xf>
    <xf numFmtId="0" fontId="23" fillId="0" borderId="19" xfId="5" applyFont="1" applyBorder="1" applyAlignment="1">
      <alignment horizontal="center"/>
    </xf>
    <xf numFmtId="0" fontId="23" fillId="0" borderId="6" xfId="5" applyFont="1" applyBorder="1" applyAlignment="1">
      <alignment horizontal="center"/>
    </xf>
    <xf numFmtId="2" fontId="22" fillId="10" borderId="6" xfId="5" applyNumberFormat="1" applyFont="1" applyFill="1" applyBorder="1" applyAlignment="1">
      <alignment horizontal="center"/>
    </xf>
    <xf numFmtId="0" fontId="22" fillId="10" borderId="11" xfId="5" applyFont="1" applyFill="1" applyBorder="1" applyAlignment="1">
      <alignment horizontal="center"/>
    </xf>
    <xf numFmtId="10" fontId="24" fillId="11" borderId="11" xfId="7" applyNumberFormat="1" applyFont="1" applyFill="1" applyBorder="1" applyAlignment="1">
      <alignment horizontal="center"/>
    </xf>
    <xf numFmtId="10" fontId="24" fillId="11" borderId="12" xfId="7" applyNumberFormat="1" applyFont="1" applyFill="1" applyBorder="1" applyAlignment="1">
      <alignment horizontal="center"/>
    </xf>
    <xf numFmtId="9" fontId="22" fillId="10" borderId="11" xfId="7" applyFont="1" applyFill="1" applyBorder="1" applyAlignment="1">
      <alignment horizontal="center"/>
    </xf>
    <xf numFmtId="0" fontId="28" fillId="12" borderId="0" xfId="0" applyFont="1" applyFill="1" applyAlignment="1">
      <alignment horizontal="left"/>
    </xf>
    <xf numFmtId="0" fontId="30" fillId="12" borderId="20" xfId="0" applyFont="1" applyFill="1" applyBorder="1" applyAlignment="1">
      <alignment horizontal="left" vertical="top"/>
    </xf>
    <xf numFmtId="0" fontId="30" fillId="12" borderId="21" xfId="0" applyFont="1" applyFill="1" applyBorder="1" applyAlignment="1">
      <alignment horizontal="left" vertical="top"/>
    </xf>
    <xf numFmtId="2" fontId="22" fillId="10" borderId="13" xfId="5" applyNumberFormat="1" applyFont="1" applyFill="1" applyBorder="1" applyAlignment="1">
      <alignment horizontal="center"/>
    </xf>
    <xf numFmtId="2" fontId="22" fillId="10" borderId="8" xfId="5" applyNumberFormat="1" applyFont="1" applyFill="1" applyBorder="1" applyAlignment="1">
      <alignment horizontal="center"/>
    </xf>
    <xf numFmtId="0" fontId="15" fillId="0" borderId="6" xfId="5" applyBorder="1" applyAlignment="1">
      <alignment horizontal="center" vertical="center"/>
    </xf>
    <xf numFmtId="0" fontId="15" fillId="0" borderId="6" xfId="5" applyBorder="1" applyAlignment="1">
      <alignment horizontal="center"/>
    </xf>
    <xf numFmtId="0" fontId="33" fillId="0" borderId="6" xfId="5" applyFont="1" applyBorder="1" applyAlignment="1">
      <alignment horizontal="center" vertical="center"/>
    </xf>
    <xf numFmtId="0" fontId="7" fillId="2" borderId="0" xfId="0" applyFont="1" applyFill="1" applyBorder="1" applyAlignment="1" applyProtection="1">
      <alignment horizontal="right" vertical="center"/>
      <protection locked="0"/>
    </xf>
    <xf numFmtId="177" fontId="32" fillId="0" borderId="6" xfId="1" applyNumberFormat="1" applyFont="1" applyBorder="1" applyAlignment="1">
      <alignment horizontal="right"/>
    </xf>
    <xf numFmtId="178" fontId="0" fillId="0" borderId="0" xfId="9" applyNumberFormat="1" applyFont="1">
      <alignment vertical="center"/>
    </xf>
    <xf numFmtId="177" fontId="22" fillId="10" borderId="13" xfId="5" applyNumberFormat="1" applyFont="1" applyFill="1" applyBorder="1" applyAlignment="1">
      <alignment horizontal="center"/>
    </xf>
    <xf numFmtId="177" fontId="22" fillId="10" borderId="6" xfId="5" applyNumberFormat="1" applyFont="1" applyFill="1" applyBorder="1" applyAlignment="1">
      <alignment horizontal="center"/>
    </xf>
    <xf numFmtId="0" fontId="27" fillId="0" borderId="6" xfId="5" applyFont="1" applyBorder="1" applyAlignment="1">
      <alignment horizontal="left" vertical="center" wrapText="1"/>
    </xf>
    <xf numFmtId="0" fontId="27" fillId="0" borderId="11" xfId="5" applyFont="1" applyBorder="1" applyAlignment="1">
      <alignment horizontal="left" vertical="center" wrapText="1"/>
    </xf>
    <xf numFmtId="0" fontId="36" fillId="2" borderId="6" xfId="0" applyFont="1" applyFill="1" applyBorder="1" applyProtection="1">
      <alignment vertical="center"/>
      <protection locked="0"/>
    </xf>
    <xf numFmtId="0" fontId="35" fillId="2" borderId="6" xfId="0" applyFont="1" applyFill="1" applyBorder="1" applyProtection="1">
      <alignment vertical="center"/>
      <protection locked="0"/>
    </xf>
    <xf numFmtId="0" fontId="6" fillId="2" borderId="0" xfId="0" applyFont="1" applyFill="1" applyBorder="1" applyProtection="1">
      <alignment vertical="center"/>
      <protection locked="0"/>
    </xf>
    <xf numFmtId="0" fontId="2" fillId="7" borderId="0" xfId="4" applyFont="1" applyFill="1" applyBorder="1" applyAlignment="1" applyProtection="1">
      <alignment vertical="center"/>
    </xf>
    <xf numFmtId="6" fontId="0" fillId="0" borderId="0" xfId="0" applyNumberFormat="1">
      <alignment vertical="center"/>
    </xf>
    <xf numFmtId="0" fontId="33" fillId="0" borderId="6" xfId="5" applyFont="1" applyBorder="1" applyAlignment="1">
      <alignment horizontal="center" vertical="center" wrapText="1"/>
    </xf>
    <xf numFmtId="0" fontId="23" fillId="0" borderId="17" xfId="5" applyFont="1" applyBorder="1" applyAlignment="1">
      <alignment horizontal="center" vertical="center"/>
    </xf>
    <xf numFmtId="0" fontId="23" fillId="0" borderId="25" xfId="5" applyFont="1" applyBorder="1" applyAlignment="1">
      <alignment horizontal="center" vertical="center"/>
    </xf>
    <xf numFmtId="0" fontId="30" fillId="12" borderId="22" xfId="0" applyFont="1" applyFill="1" applyBorder="1" applyAlignment="1">
      <alignment horizontal="left" vertical="top"/>
    </xf>
    <xf numFmtId="0" fontId="30" fillId="12" borderId="23" xfId="0" applyFont="1" applyFill="1" applyBorder="1" applyAlignment="1">
      <alignment horizontal="left" vertical="top"/>
    </xf>
    <xf numFmtId="9" fontId="0" fillId="0" borderId="0" xfId="2" applyFont="1">
      <alignment vertical="center"/>
    </xf>
    <xf numFmtId="10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0" fillId="0" borderId="6" xfId="0" applyBorder="1">
      <alignment vertical="center"/>
    </xf>
    <xf numFmtId="177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6" fillId="13" borderId="6" xfId="0" applyFont="1" applyFill="1" applyBorder="1" applyAlignment="1" applyProtection="1">
      <alignment horizontal="right" vertical="center"/>
      <protection locked="0"/>
    </xf>
    <xf numFmtId="0" fontId="6" fillId="13" borderId="0" xfId="0" applyFont="1" applyFill="1" applyBorder="1" applyAlignment="1" applyProtection="1">
      <alignment horizontal="right" vertical="center"/>
      <protection locked="0"/>
    </xf>
    <xf numFmtId="0" fontId="0" fillId="13" borderId="0" xfId="0" applyFill="1" applyProtection="1">
      <alignment vertical="center"/>
      <protection locked="0"/>
    </xf>
    <xf numFmtId="0" fontId="6" fillId="13" borderId="6" xfId="0" applyFont="1" applyFill="1" applyBorder="1" applyAlignment="1" applyProtection="1">
      <alignment horizontal="center" vertical="center"/>
      <protection locked="0"/>
    </xf>
    <xf numFmtId="0" fontId="7" fillId="13" borderId="0" xfId="0" applyFont="1" applyFill="1" applyBorder="1" applyProtection="1">
      <alignment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9" fillId="13" borderId="0" xfId="0" applyFont="1" applyFill="1" applyBorder="1" applyAlignment="1" applyProtection="1">
      <alignment horizontal="right" vertical="center"/>
      <protection locked="0"/>
    </xf>
    <xf numFmtId="177" fontId="0" fillId="0" borderId="0" xfId="1" applyNumberFormat="1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4" fontId="0" fillId="0" borderId="0" xfId="1" applyFont="1" applyProtection="1">
      <alignment vertical="center"/>
      <protection locked="0"/>
    </xf>
    <xf numFmtId="178" fontId="0" fillId="0" borderId="0" xfId="9" applyNumberFormat="1" applyFont="1" applyProtection="1">
      <alignment vertical="center"/>
      <protection locked="0"/>
    </xf>
    <xf numFmtId="0" fontId="6" fillId="13" borderId="0" xfId="3" applyFont="1" applyFill="1" applyBorder="1" applyAlignment="1" applyProtection="1">
      <alignment horizontal="right" vertical="center"/>
      <protection locked="0"/>
    </xf>
    <xf numFmtId="0" fontId="7" fillId="13" borderId="0" xfId="0" applyFont="1" applyFill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6" fontId="0" fillId="0" borderId="0" xfId="0" applyNumberFormat="1" applyProtection="1">
      <alignment vertical="center"/>
      <protection locked="0"/>
    </xf>
    <xf numFmtId="0" fontId="6" fillId="3" borderId="0" xfId="0" applyFont="1" applyFill="1" applyBorder="1" applyAlignment="1" applyProtection="1">
      <alignment horizontal="right"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37" fillId="6" borderId="0" xfId="0" applyFont="1" applyFill="1" applyBorder="1" applyAlignment="1" applyProtection="1">
      <alignment horizontal="right" vertical="center"/>
      <protection locked="0"/>
    </xf>
    <xf numFmtId="0" fontId="6" fillId="13" borderId="6" xfId="0" applyFont="1" applyFill="1" applyBorder="1" applyProtection="1">
      <alignment vertical="center"/>
      <protection locked="0"/>
    </xf>
    <xf numFmtId="10" fontId="6" fillId="13" borderId="0" xfId="2" applyNumberFormat="1" applyFont="1" applyFill="1" applyBorder="1" applyProtection="1">
      <alignment vertical="center"/>
      <protection locked="0"/>
    </xf>
    <xf numFmtId="177" fontId="0" fillId="0" borderId="0" xfId="1" applyNumberFormat="1" applyFont="1" applyProtection="1">
      <alignment vertical="center"/>
    </xf>
    <xf numFmtId="6" fontId="0" fillId="0" borderId="0" xfId="0" applyNumberFormat="1" applyProtection="1">
      <alignment vertical="center"/>
    </xf>
    <xf numFmtId="0" fontId="2" fillId="2" borderId="6" xfId="0" applyFont="1" applyFill="1" applyBorder="1" applyProtection="1">
      <alignment vertical="center"/>
    </xf>
    <xf numFmtId="0" fontId="4" fillId="2" borderId="6" xfId="0" applyFont="1" applyFill="1" applyBorder="1" applyProtection="1">
      <alignment vertical="center"/>
    </xf>
    <xf numFmtId="0" fontId="7" fillId="2" borderId="0" xfId="0" applyFont="1" applyFill="1" applyBorder="1" applyAlignment="1" applyProtection="1">
      <alignment horizontal="right" vertical="center"/>
    </xf>
    <xf numFmtId="0" fontId="5" fillId="13" borderId="6" xfId="0" applyFont="1" applyFill="1" applyBorder="1" applyAlignment="1" applyProtection="1">
      <alignment horizontal="center" vertical="center"/>
    </xf>
    <xf numFmtId="0" fontId="6" fillId="13" borderId="6" xfId="0" applyFont="1" applyFill="1" applyBorder="1" applyAlignment="1" applyProtection="1">
      <alignment horizontal="right" vertical="center"/>
    </xf>
    <xf numFmtId="0" fontId="6" fillId="13" borderId="0" xfId="0" applyFont="1" applyFill="1" applyBorder="1" applyAlignment="1" applyProtection="1">
      <alignment horizontal="right" vertical="center"/>
    </xf>
    <xf numFmtId="0" fontId="6" fillId="13" borderId="24" xfId="0" applyFont="1" applyFill="1" applyBorder="1" applyAlignment="1" applyProtection="1">
      <alignment horizontal="right" vertical="center"/>
    </xf>
    <xf numFmtId="0" fontId="8" fillId="4" borderId="1" xfId="0" applyFont="1" applyFill="1" applyBorder="1" applyProtection="1">
      <alignment vertical="center"/>
    </xf>
    <xf numFmtId="0" fontId="8" fillId="4" borderId="2" xfId="0" applyFont="1" applyFill="1" applyBorder="1" applyProtection="1">
      <alignment vertical="center"/>
    </xf>
    <xf numFmtId="0" fontId="8" fillId="0" borderId="0" xfId="0" applyFont="1" applyBorder="1" applyProtection="1">
      <alignment vertical="center"/>
    </xf>
    <xf numFmtId="0" fontId="6" fillId="13" borderId="6" xfId="0" applyFont="1" applyFill="1" applyBorder="1" applyAlignment="1" applyProtection="1">
      <alignment horizontal="center" vertical="center"/>
    </xf>
    <xf numFmtId="0" fontId="7" fillId="13" borderId="6" xfId="0" applyFont="1" applyFill="1" applyBorder="1" applyAlignment="1" applyProtection="1">
      <alignment horizontal="right" vertical="center"/>
    </xf>
    <xf numFmtId="0" fontId="7" fillId="13" borderId="0" xfId="0" applyFont="1" applyFill="1" applyBorder="1" applyProtection="1">
      <alignment vertical="center"/>
    </xf>
    <xf numFmtId="0" fontId="9" fillId="13" borderId="0" xfId="0" applyFont="1" applyFill="1" applyBorder="1" applyAlignment="1" applyProtection="1">
      <alignment horizontal="right" vertical="center"/>
    </xf>
    <xf numFmtId="0" fontId="10" fillId="13" borderId="6" xfId="0" applyFont="1" applyFill="1" applyBorder="1" applyAlignment="1" applyProtection="1">
      <alignment horizontal="center" vertical="center"/>
    </xf>
    <xf numFmtId="0" fontId="14" fillId="13" borderId="6" xfId="0" applyFont="1" applyFill="1" applyBorder="1" applyAlignment="1" applyProtection="1">
      <alignment horizontal="right" vertical="center"/>
    </xf>
    <xf numFmtId="0" fontId="7" fillId="5" borderId="6" xfId="0" applyFont="1" applyFill="1" applyBorder="1" applyProtection="1">
      <alignment vertical="center"/>
    </xf>
    <xf numFmtId="0" fontId="7" fillId="5" borderId="6" xfId="0" applyFont="1" applyFill="1" applyBorder="1" applyAlignment="1" applyProtection="1">
      <alignment horizontal="right" vertical="center"/>
    </xf>
    <xf numFmtId="0" fontId="7" fillId="5" borderId="0" xfId="0" applyFont="1" applyFill="1" applyBorder="1" applyAlignment="1" applyProtection="1">
      <alignment horizontal="right" vertical="center"/>
    </xf>
    <xf numFmtId="0" fontId="5" fillId="3" borderId="6" xfId="0" applyFont="1" applyFill="1" applyBorder="1" applyAlignment="1" applyProtection="1">
      <alignment horizontal="center" vertical="center"/>
    </xf>
    <xf numFmtId="0" fontId="6" fillId="3" borderId="6" xfId="3" applyFont="1" applyFill="1" applyBorder="1" applyAlignment="1" applyProtection="1">
      <alignment horizontal="right" vertical="center"/>
    </xf>
    <xf numFmtId="0" fontId="6" fillId="13" borderId="0" xfId="3" applyFont="1" applyFill="1" applyBorder="1" applyAlignment="1" applyProtection="1">
      <alignment horizontal="right" vertical="center"/>
    </xf>
    <xf numFmtId="0" fontId="6" fillId="3" borderId="6" xfId="0" applyFont="1" applyFill="1" applyBorder="1" applyAlignment="1" applyProtection="1">
      <alignment horizontal="right" vertical="center"/>
    </xf>
    <xf numFmtId="0" fontId="7" fillId="13" borderId="0" xfId="0" applyFont="1" applyFill="1" applyBorder="1" applyAlignment="1" applyProtection="1">
      <alignment horizontal="right" vertical="center"/>
    </xf>
    <xf numFmtId="0" fontId="6" fillId="3" borderId="6" xfId="0" applyFont="1" applyFill="1" applyBorder="1" applyAlignment="1" applyProtection="1">
      <alignment horizontal="center" vertical="center"/>
    </xf>
    <xf numFmtId="0" fontId="6" fillId="3" borderId="6" xfId="0" applyFont="1" applyFill="1" applyBorder="1" applyProtection="1">
      <alignment vertical="center"/>
    </xf>
    <xf numFmtId="0" fontId="10" fillId="3" borderId="6" xfId="0" applyFont="1" applyFill="1" applyBorder="1" applyProtection="1">
      <alignment vertical="center"/>
    </xf>
    <xf numFmtId="0" fontId="14" fillId="3" borderId="6" xfId="3" applyFont="1" applyFill="1" applyBorder="1" applyAlignment="1" applyProtection="1">
      <alignment horizontal="right" vertical="center"/>
    </xf>
    <xf numFmtId="0" fontId="12" fillId="0" borderId="6" xfId="0" applyFont="1" applyBorder="1" applyAlignment="1" applyProtection="1">
      <alignment horizontal="right" vertical="center"/>
    </xf>
    <xf numFmtId="0" fontId="0" fillId="0" borderId="0" xfId="0" applyProtection="1">
      <alignment vertical="center"/>
    </xf>
    <xf numFmtId="0" fontId="0" fillId="0" borderId="7" xfId="0" applyBorder="1" applyProtection="1">
      <alignment vertical="center"/>
    </xf>
    <xf numFmtId="0" fontId="0" fillId="0" borderId="0" xfId="0" applyBorder="1" applyProtection="1">
      <alignment vertical="center"/>
    </xf>
    <xf numFmtId="0" fontId="6" fillId="6" borderId="6" xfId="0" applyFont="1" applyFill="1" applyBorder="1" applyAlignment="1" applyProtection="1">
      <alignment horizontal="right" vertical="center"/>
    </xf>
    <xf numFmtId="0" fontId="37" fillId="6" borderId="0" xfId="0" applyFont="1" applyFill="1" applyBorder="1" applyAlignment="1" applyProtection="1">
      <alignment horizontal="right" vertical="center"/>
    </xf>
    <xf numFmtId="0" fontId="8" fillId="0" borderId="1" xfId="0" applyFont="1" applyBorder="1" applyProtection="1">
      <alignment vertical="center"/>
    </xf>
    <xf numFmtId="0" fontId="8" fillId="0" borderId="2" xfId="0" applyFont="1" applyBorder="1" applyProtection="1">
      <alignment vertical="center"/>
    </xf>
    <xf numFmtId="0" fontId="2" fillId="7" borderId="4" xfId="0" applyFont="1" applyFill="1" applyBorder="1" applyProtection="1">
      <alignment vertical="center"/>
    </xf>
    <xf numFmtId="0" fontId="2" fillId="7" borderId="26" xfId="0" applyFont="1" applyFill="1" applyBorder="1" applyAlignment="1" applyProtection="1">
      <alignment vertical="center"/>
    </xf>
    <xf numFmtId="0" fontId="2" fillId="7" borderId="0" xfId="0" applyFont="1" applyFill="1" applyBorder="1" applyAlignment="1" applyProtection="1">
      <alignment vertical="center"/>
    </xf>
    <xf numFmtId="8" fontId="0" fillId="0" borderId="0" xfId="0" applyNumberFormat="1" applyProtection="1">
      <alignment vertical="center"/>
    </xf>
    <xf numFmtId="6" fontId="7" fillId="5" borderId="0" xfId="0" applyNumberFormat="1" applyFont="1" applyFill="1" applyBorder="1" applyAlignment="1" applyProtection="1">
      <alignment horizontal="right" vertical="center"/>
    </xf>
    <xf numFmtId="0" fontId="14" fillId="3" borderId="6" xfId="0" applyFont="1" applyFill="1" applyBorder="1" applyAlignment="1" applyProtection="1">
      <alignment horizontal="right" vertical="center"/>
    </xf>
    <xf numFmtId="44" fontId="0" fillId="0" borderId="0" xfId="1" applyFont="1" applyProtection="1">
      <alignment vertical="center"/>
    </xf>
    <xf numFmtId="0" fontId="0" fillId="14" borderId="0" xfId="0" applyFill="1">
      <alignment vertical="center"/>
    </xf>
    <xf numFmtId="9" fontId="0" fillId="0" borderId="6" xfId="2" applyFont="1" applyBorder="1">
      <alignment vertical="center"/>
    </xf>
    <xf numFmtId="178" fontId="0" fillId="0" borderId="6" xfId="0" applyNumberFormat="1" applyBorder="1">
      <alignment vertical="center"/>
    </xf>
    <xf numFmtId="0" fontId="0" fillId="0" borderId="8" xfId="0" applyBorder="1">
      <alignment vertical="center"/>
    </xf>
    <xf numFmtId="178" fontId="0" fillId="0" borderId="8" xfId="9" applyNumberFormat="1" applyFont="1" applyBorder="1">
      <alignment vertical="center"/>
    </xf>
    <xf numFmtId="0" fontId="0" fillId="13" borderId="6" xfId="0" applyFill="1" applyBorder="1">
      <alignment vertical="center"/>
    </xf>
    <xf numFmtId="0" fontId="41" fillId="0" borderId="0" xfId="5" applyFont="1" applyAlignment="1">
      <alignment horizontal="left" wrapText="1"/>
    </xf>
    <xf numFmtId="0" fontId="0" fillId="15" borderId="0" xfId="0" applyFill="1">
      <alignment vertical="center"/>
    </xf>
    <xf numFmtId="0" fontId="5" fillId="3" borderId="6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right" vertical="center"/>
    </xf>
    <xf numFmtId="0" fontId="6" fillId="13" borderId="0" xfId="0" applyFont="1" applyFill="1" applyAlignment="1">
      <alignment horizontal="right" vertical="center"/>
    </xf>
    <xf numFmtId="177" fontId="0" fillId="0" borderId="0" xfId="0" applyNumberFormat="1" applyProtection="1">
      <alignment vertical="center"/>
      <protection locked="0"/>
    </xf>
    <xf numFmtId="0" fontId="0" fillId="13" borderId="6" xfId="0" applyFill="1" applyBorder="1" applyAlignment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177" fontId="0" fillId="0" borderId="0" xfId="0" applyNumberFormat="1" applyProtection="1">
      <alignment vertical="center"/>
    </xf>
    <xf numFmtId="10" fontId="0" fillId="0" borderId="0" xfId="2" applyNumberFormat="1" applyFont="1" applyProtection="1">
      <alignment vertical="center"/>
      <protection locked="0"/>
    </xf>
    <xf numFmtId="10" fontId="0" fillId="0" borderId="0" xfId="2" applyNumberFormat="1" applyFont="1" applyProtection="1">
      <alignment vertical="center"/>
    </xf>
    <xf numFmtId="0" fontId="42" fillId="0" borderId="0" xfId="0" applyFont="1" applyFill="1" applyAlignment="1" applyProtection="1">
      <alignment horizontal="center" vertical="center"/>
      <protection locked="0"/>
    </xf>
    <xf numFmtId="44" fontId="0" fillId="0" borderId="0" xfId="1" applyNumberFormat="1" applyFont="1" applyProtection="1">
      <alignment vertical="center"/>
    </xf>
    <xf numFmtId="3" fontId="0" fillId="0" borderId="0" xfId="0" applyNumberFormat="1" applyProtection="1">
      <alignment vertical="center"/>
      <protection locked="0"/>
    </xf>
    <xf numFmtId="3" fontId="0" fillId="0" borderId="0" xfId="0" applyNumberFormat="1" applyProtection="1">
      <alignment vertical="center"/>
    </xf>
    <xf numFmtId="10" fontId="0" fillId="0" borderId="0" xfId="0" applyNumberFormat="1" applyProtection="1">
      <alignment vertical="center"/>
      <protection locked="0"/>
    </xf>
    <xf numFmtId="0" fontId="30" fillId="12" borderId="0" xfId="0" applyFont="1" applyFill="1" applyBorder="1" applyAlignment="1">
      <alignment horizontal="left" vertical="top"/>
    </xf>
    <xf numFmtId="0" fontId="44" fillId="12" borderId="0" xfId="0" applyFont="1" applyFill="1" applyAlignment="1">
      <alignment horizontal="left"/>
    </xf>
    <xf numFmtId="10" fontId="22" fillId="10" borderId="35" xfId="7" applyNumberFormat="1" applyFont="1" applyFill="1" applyBorder="1" applyAlignment="1">
      <alignment horizontal="center"/>
    </xf>
    <xf numFmtId="10" fontId="22" fillId="10" borderId="7" xfId="7" applyNumberFormat="1" applyFont="1" applyFill="1" applyBorder="1" applyAlignment="1">
      <alignment horizontal="center"/>
    </xf>
    <xf numFmtId="0" fontId="45" fillId="3" borderId="6" xfId="0" applyFont="1" applyFill="1" applyBorder="1" applyAlignment="1" applyProtection="1">
      <alignment horizontal="left" vertical="center"/>
    </xf>
    <xf numFmtId="177" fontId="0" fillId="13" borderId="0" xfId="1" applyNumberFormat="1" applyFont="1" applyFill="1" applyProtection="1">
      <alignment vertical="center"/>
    </xf>
    <xf numFmtId="9" fontId="0" fillId="0" borderId="6" xfId="2" applyFont="1" applyBorder="1" applyProtection="1">
      <alignment vertical="center"/>
      <protection locked="0"/>
    </xf>
    <xf numFmtId="178" fontId="0" fillId="0" borderId="8" xfId="9" applyNumberFormat="1" applyFont="1" applyBorder="1" applyProtection="1">
      <alignment vertical="center"/>
      <protection locked="0"/>
    </xf>
    <xf numFmtId="0" fontId="46" fillId="9" borderId="27" xfId="0" applyFont="1" applyFill="1" applyBorder="1" applyAlignment="1">
      <alignment horizontal="centerContinuous" vertical="center"/>
    </xf>
    <xf numFmtId="0" fontId="46" fillId="9" borderId="28" xfId="0" applyFont="1" applyFill="1" applyBorder="1" applyAlignment="1">
      <alignment horizontal="centerContinuous" vertical="center"/>
    </xf>
    <xf numFmtId="0" fontId="47" fillId="9" borderId="28" xfId="0" applyFont="1" applyFill="1" applyBorder="1" applyAlignment="1">
      <alignment horizontal="centerContinuous"/>
    </xf>
    <xf numFmtId="0" fontId="47" fillId="9" borderId="29" xfId="0" applyFont="1" applyFill="1" applyBorder="1" applyAlignment="1">
      <alignment horizontal="centerContinuous"/>
    </xf>
    <xf numFmtId="0" fontId="47" fillId="0" borderId="0" xfId="0" applyFont="1">
      <alignment vertical="center"/>
    </xf>
    <xf numFmtId="0" fontId="47" fillId="4" borderId="30" xfId="0" applyFont="1" applyFill="1" applyBorder="1" applyAlignment="1"/>
    <xf numFmtId="0" fontId="47" fillId="4" borderId="0" xfId="0" applyFont="1" applyFill="1" applyBorder="1" applyAlignment="1"/>
    <xf numFmtId="0" fontId="48" fillId="4" borderId="0" xfId="0" applyFont="1" applyFill="1" applyBorder="1" applyAlignment="1">
      <alignment horizontal="center" vertical="center"/>
    </xf>
    <xf numFmtId="0" fontId="47" fillId="0" borderId="0" xfId="0" applyFont="1" applyBorder="1">
      <alignment vertical="center"/>
    </xf>
    <xf numFmtId="0" fontId="47" fillId="0" borderId="31" xfId="0" applyFont="1" applyBorder="1">
      <alignment vertical="center"/>
    </xf>
    <xf numFmtId="0" fontId="46" fillId="4" borderId="0" xfId="0" applyFont="1" applyFill="1" applyBorder="1">
      <alignment vertical="center"/>
    </xf>
    <xf numFmtId="0" fontId="46" fillId="4" borderId="6" xfId="0" applyFont="1" applyFill="1" applyBorder="1">
      <alignment vertical="center"/>
    </xf>
    <xf numFmtId="0" fontId="48" fillId="4" borderId="6" xfId="0" applyFont="1" applyFill="1" applyBorder="1" applyAlignment="1">
      <alignment horizontal="center" vertical="center"/>
    </xf>
    <xf numFmtId="0" fontId="46" fillId="4" borderId="6" xfId="0" applyFont="1" applyFill="1" applyBorder="1" applyAlignment="1">
      <alignment horizontal="center" vertical="center"/>
    </xf>
    <xf numFmtId="177" fontId="46" fillId="4" borderId="6" xfId="1" applyNumberFormat="1" applyFont="1" applyFill="1" applyBorder="1">
      <alignment vertical="center"/>
    </xf>
    <xf numFmtId="0" fontId="46" fillId="4" borderId="0" xfId="0" applyFont="1" applyFill="1" applyBorder="1" applyAlignment="1">
      <alignment horizontal="center" vertical="center"/>
    </xf>
    <xf numFmtId="0" fontId="48" fillId="4" borderId="0" xfId="0" applyFont="1" applyFill="1" applyBorder="1">
      <alignment vertical="center"/>
    </xf>
    <xf numFmtId="0" fontId="48" fillId="4" borderId="6" xfId="0" applyFont="1" applyFill="1" applyBorder="1" applyAlignment="1">
      <alignment horizontal="centerContinuous" vertical="center"/>
    </xf>
    <xf numFmtId="49" fontId="46" fillId="4" borderId="6" xfId="0" applyNumberFormat="1" applyFont="1" applyFill="1" applyBorder="1" applyAlignment="1">
      <alignment horizontal="center" vertical="center"/>
    </xf>
    <xf numFmtId="179" fontId="46" fillId="4" borderId="6" xfId="0" applyNumberFormat="1" applyFont="1" applyFill="1" applyBorder="1">
      <alignment vertical="center"/>
    </xf>
    <xf numFmtId="0" fontId="46" fillId="4" borderId="6" xfId="0" applyFont="1" applyFill="1" applyBorder="1" applyAlignment="1">
      <alignment horizontal="right" vertical="center"/>
    </xf>
    <xf numFmtId="0" fontId="47" fillId="0" borderId="30" xfId="0" applyFont="1" applyBorder="1">
      <alignment vertical="center"/>
    </xf>
    <xf numFmtId="0" fontId="47" fillId="0" borderId="0" xfId="0" applyFont="1" applyBorder="1" applyAlignment="1">
      <alignment horizontal="center" vertical="center"/>
    </xf>
    <xf numFmtId="0" fontId="51" fillId="0" borderId="6" xfId="5" applyFont="1" applyBorder="1" applyAlignment="1">
      <alignment horizontal="center"/>
    </xf>
    <xf numFmtId="6" fontId="47" fillId="0" borderId="6" xfId="0" applyNumberFormat="1" applyFont="1" applyBorder="1">
      <alignment vertical="center"/>
    </xf>
    <xf numFmtId="0" fontId="47" fillId="0" borderId="32" xfId="0" applyFont="1" applyBorder="1">
      <alignment vertical="center"/>
    </xf>
    <xf numFmtId="0" fontId="47" fillId="0" borderId="33" xfId="0" applyFont="1" applyBorder="1">
      <alignment vertical="center"/>
    </xf>
    <xf numFmtId="0" fontId="47" fillId="0" borderId="34" xfId="0" applyFont="1" applyBorder="1">
      <alignment vertical="center"/>
    </xf>
    <xf numFmtId="0" fontId="54" fillId="4" borderId="6" xfId="0" applyFont="1" applyFill="1" applyBorder="1" applyAlignment="1">
      <alignment horizontal="center" vertical="center"/>
    </xf>
    <xf numFmtId="0" fontId="54" fillId="4" borderId="6" xfId="0" applyFont="1" applyFill="1" applyBorder="1" applyAlignment="1">
      <alignment horizontal="center" vertical="center" wrapText="1"/>
    </xf>
    <xf numFmtId="0" fontId="0" fillId="13" borderId="0" xfId="0" applyFill="1" applyBorder="1">
      <alignment vertical="center"/>
    </xf>
    <xf numFmtId="9" fontId="0" fillId="0" borderId="0" xfId="2" applyFont="1" applyBorder="1">
      <alignment vertical="center"/>
    </xf>
    <xf numFmtId="180" fontId="0" fillId="0" borderId="0" xfId="2" applyNumberFormat="1" applyFont="1" applyProtection="1">
      <alignment vertical="center"/>
      <protection locked="0"/>
    </xf>
    <xf numFmtId="0" fontId="23" fillId="0" borderId="18" xfId="5" applyFont="1" applyBorder="1" applyAlignment="1">
      <alignment horizontal="center" vertical="center"/>
    </xf>
    <xf numFmtId="0" fontId="23" fillId="0" borderId="17" xfId="5" applyFont="1" applyBorder="1" applyAlignment="1">
      <alignment horizontal="center" vertical="center"/>
    </xf>
  </cellXfs>
  <cellStyles count="10">
    <cellStyle name="Body: normal cell" xfId="6"/>
    <cellStyle name="Comma 2" xfId="8"/>
    <cellStyle name="Normal 2" xfId="5"/>
    <cellStyle name="Percent 2" xfId="7"/>
    <cellStyle name="Tabell" xfId="3"/>
    <cellStyle name="Tabellsumma" xfId="4"/>
    <cellStyle name="一般" xfId="0" builtinId="0"/>
    <cellStyle name="千分位" xfId="9" builtinId="3"/>
    <cellStyle name="百分比" xfId="2" builtinId="5"/>
    <cellStyle name="貨幣" xfId="1" builtinId="4"/>
  </cellStyles>
  <dxfs count="22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標楷體" panose="03000509000000000000" pitchFamily="65" charset="-120"/>
                <a:ea typeface="標楷體" panose="03000509000000000000" pitchFamily="65" charset="-120"/>
                <a:cs typeface="+mn-cs"/>
              </a:defRPr>
            </a:pPr>
            <a:r>
              <a:rPr lang="zh-TW" altLang="en-US">
                <a:latin typeface="標楷體" panose="03000509000000000000" pitchFamily="65" charset="-120"/>
                <a:ea typeface="標楷體" panose="03000509000000000000" pitchFamily="65" charset="-120"/>
              </a:rPr>
              <a:t>每輛車成本結構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LCC總表!$C$24</c:f>
              <c:strCache>
                <c:ptCount val="1"/>
                <c:pt idx="0">
                  <c:v>資產採購成本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(LCC總表!$E$12,LCC總表!$G$12,LCC總表!$I$12,LCC總表!$K$12,LCC總表!$M$12,LCC總表!$O$12,LCC總表!$Q$12,LCC總表!$S$12,LCC總表!$U$12,LCC總表!$W$12)</c:f>
              <c:strCache>
                <c:ptCount val="5"/>
                <c:pt idx="0">
                  <c:v>車款 1</c:v>
                </c:pt>
                <c:pt idx="1">
                  <c:v>車款 2</c:v>
                </c:pt>
                <c:pt idx="2">
                  <c:v>車款 3</c:v>
                </c:pt>
                <c:pt idx="3">
                  <c:v>車款 4</c:v>
                </c:pt>
                <c:pt idx="4">
                  <c:v>車款 5</c:v>
                </c:pt>
              </c:strCache>
            </c:strRef>
          </c:cat>
          <c:val>
            <c:numRef>
              <c:f>(LCC總表!$E$24,LCC總表!$G$24,LCC總表!$I$24,LCC總表!$K$24,LCC總表!$M$24,LCC總表!$O$24,LCC總表!$Q$24,LCC總表!$S$24,LCC總表!$U$24,LCC總表!$W$24)</c:f>
              <c:numCache>
                <c:formatCode>_-"$"* #,##0_-;\-"$"* #,##0_-;_-"$"* "-"??_-;_-@_-</c:formatCode>
                <c:ptCount val="5"/>
                <c:pt idx="0">
                  <c:v>13651668.426666668</c:v>
                </c:pt>
                <c:pt idx="1">
                  <c:v>9350000</c:v>
                </c:pt>
                <c:pt idx="2">
                  <c:v>7650000.2400000002</c:v>
                </c:pt>
                <c:pt idx="3">
                  <c:v>9358333.7933333348</c:v>
                </c:pt>
                <c:pt idx="4">
                  <c:v>5300000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FA-407D-B741-F0CAA108D727}"/>
            </c:ext>
          </c:extLst>
        </c:ser>
        <c:ser>
          <c:idx val="1"/>
          <c:order val="1"/>
          <c:tx>
            <c:strRef>
              <c:f>LCC總表!$C$34</c:f>
              <c:strCache>
                <c:ptCount val="1"/>
                <c:pt idx="0">
                  <c:v>運行成本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(LCC總表!$E$34,LCC總表!$G$34,LCC總表!$I$34,LCC總表!$K$34,LCC總表!$M$34,LCC總表!$O$34,LCC總表!$Q$34,LCC總表!$S$34,LCC總表!$U$34,LCC總表!$W$34)</c:f>
              <c:numCache>
                <c:formatCode>"$"#,##0_);[Red]\("$"#,##0\)</c:formatCode>
                <c:ptCount val="5"/>
                <c:pt idx="0">
                  <c:v>735778.12255871657</c:v>
                </c:pt>
                <c:pt idx="1">
                  <c:v>564808.93225461652</c:v>
                </c:pt>
                <c:pt idx="2">
                  <c:v>1317147.4921783113</c:v>
                </c:pt>
                <c:pt idx="3">
                  <c:v>748352.34114679671</c:v>
                </c:pt>
                <c:pt idx="4">
                  <c:v>3196450.050218605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FA-407D-B741-F0CAA108D727}"/>
            </c:ext>
          </c:extLst>
        </c:ser>
        <c:ser>
          <c:idx val="2"/>
          <c:order val="2"/>
          <c:tx>
            <c:strRef>
              <c:f>LCC總表!$C$41</c:f>
              <c:strCache>
                <c:ptCount val="1"/>
                <c:pt idx="0">
                  <c:v>保養服務成本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(LCC總表!$E$41,LCC總表!$G$41,LCC總表!$I$41,LCC總表!$K$41,LCC總表!$M$41,LCC總表!$O$41,LCC總表!$Q$41,LCC總表!$S$41,LCC總表!$U$41,LCC總表!$W$41)</c:f>
              <c:numCache>
                <c:formatCode>_-"$"* #,##0_-;\-"$"* #,##0_-;_-"$"* "-"??_-;_-@_-</c:formatCode>
                <c:ptCount val="5"/>
                <c:pt idx="0">
                  <c:v>131677.63493620176</c:v>
                </c:pt>
                <c:pt idx="1">
                  <c:v>131677.63493620176</c:v>
                </c:pt>
                <c:pt idx="2">
                  <c:v>131677.63493620176</c:v>
                </c:pt>
                <c:pt idx="3">
                  <c:v>131677.63493620176</c:v>
                </c:pt>
                <c:pt idx="4">
                  <c:v>251106.1875527568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FA-407D-B741-F0CAA108D727}"/>
            </c:ext>
          </c:extLst>
        </c:ser>
        <c:ser>
          <c:idx val="3"/>
          <c:order val="3"/>
          <c:tx>
            <c:strRef>
              <c:f>LCC總表!$C$56</c:f>
              <c:strCache>
                <c:ptCount val="1"/>
                <c:pt idx="0">
                  <c:v>課稅、補助與其他成本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(LCC總表!$E$56,LCC總表!$G$56,LCC總表!$I$56,LCC總表!$K$56,LCC總表!$M$56,LCC總表!$O$56,LCC總表!$Q$56,LCC總表!$S$56,LCC總表!$U$56,LCC總表!$W$56)</c:f>
              <c:numCache>
                <c:formatCode>"$"#,##0_);[Red]\("$"#,##0\)</c:formatCode>
                <c:ptCount val="5"/>
                <c:pt idx="0">
                  <c:v>-4629994.8309654174</c:v>
                </c:pt>
                <c:pt idx="1">
                  <c:v>-4629994.8309654174</c:v>
                </c:pt>
                <c:pt idx="2">
                  <c:v>-4629994.8309654174</c:v>
                </c:pt>
                <c:pt idx="3">
                  <c:v>-4629994.8309654174</c:v>
                </c:pt>
                <c:pt idx="4">
                  <c:v>73493.905966632316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FA-407D-B741-F0CAA108D727}"/>
            </c:ext>
          </c:extLst>
        </c:ser>
        <c:ser>
          <c:idx val="4"/>
          <c:order val="4"/>
          <c:tx>
            <c:strRef>
              <c:f>LCC總表!$C$65</c:f>
              <c:strCache>
                <c:ptCount val="1"/>
                <c:pt idx="0">
                  <c:v>回收價格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(LCC總表!$E$65,LCC總表!$G$65,LCC總表!$I$65,LCC總表!$K$65,LCC總表!$M$65,LCC總表!$O$65,LCC總表!$Q$65,LCC總表!$S$65,LCC總表!$U$65,LCC總表!$W$65)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FA-407D-B741-F0CAA108D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31648"/>
        <c:axId val="90733184"/>
      </c:barChart>
      <c:catAx>
        <c:axId val="9073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0733184"/>
        <c:crosses val="autoZero"/>
        <c:auto val="1"/>
        <c:lblAlgn val="ctr"/>
        <c:lblOffset val="100"/>
        <c:noMultiLvlLbl val="0"/>
      </c:catAx>
      <c:valAx>
        <c:axId val="9073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9073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標楷體" panose="03000509000000000000" pitchFamily="65" charset="-120"/>
                <a:ea typeface="標楷體" panose="03000509000000000000" pitchFamily="65" charset="-120"/>
                <a:cs typeface="+mn-cs"/>
              </a:defRPr>
            </a:pPr>
            <a:r>
              <a:rPr lang="zh-TW" altLang="en-US">
                <a:latin typeface="標楷體" panose="03000509000000000000" pitchFamily="65" charset="-120"/>
                <a:ea typeface="標楷體" panose="03000509000000000000" pitchFamily="65" charset="-120"/>
              </a:rPr>
              <a:t>補助後之車輛全生命週期成本 </a:t>
            </a:r>
            <a:r>
              <a:rPr lang="en-US" altLang="zh-TW">
                <a:latin typeface="標楷體" panose="03000509000000000000" pitchFamily="65" charset="-120"/>
                <a:ea typeface="標楷體" panose="03000509000000000000" pitchFamily="65" charset="-120"/>
              </a:rPr>
              <a:t>(12</a:t>
            </a:r>
            <a:r>
              <a:rPr lang="zh-TW" altLang="en-US">
                <a:latin typeface="標楷體" panose="03000509000000000000" pitchFamily="65" charset="-120"/>
                <a:ea typeface="標楷體" panose="03000509000000000000" pitchFamily="65" charset="-120"/>
              </a:rPr>
              <a:t>輛車隊為例</a:t>
            </a:r>
            <a:r>
              <a:rPr lang="en-US" altLang="zh-TW">
                <a:latin typeface="標楷體" panose="03000509000000000000" pitchFamily="65" charset="-120"/>
                <a:ea typeface="標楷體" panose="03000509000000000000" pitchFamily="65" charset="-120"/>
              </a:rPr>
              <a:t>)</a:t>
            </a:r>
            <a:endParaRPr lang="zh-TW" altLang="en-US">
              <a:latin typeface="標楷體" panose="03000509000000000000" pitchFamily="65" charset="-120"/>
              <a:ea typeface="標楷體" panose="03000509000000000000" pitchFamily="65" charset="-12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LCC總表!$C$69</c:f>
              <c:strCache>
                <c:ptCount val="1"/>
                <c:pt idx="0">
                  <c:v>補助後所有車輛全生命週期成本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(LCC總表!$E$12,LCC總表!$G$12,LCC總表!$I$12,LCC總表!$K$12,LCC總表!$M$12,LCC總表!$O$12,LCC總表!$Q$12,LCC總表!$S$12,LCC總表!$U$12,LCC總表!$W$12)</c:f>
              <c:strCache>
                <c:ptCount val="5"/>
                <c:pt idx="0">
                  <c:v>車款 1</c:v>
                </c:pt>
                <c:pt idx="1">
                  <c:v>車款 2</c:v>
                </c:pt>
                <c:pt idx="2">
                  <c:v>車款 3</c:v>
                </c:pt>
                <c:pt idx="3">
                  <c:v>車款 4</c:v>
                </c:pt>
                <c:pt idx="4">
                  <c:v>車款 5</c:v>
                </c:pt>
              </c:strCache>
            </c:strRef>
          </c:cat>
          <c:val>
            <c:numRef>
              <c:f>(LCC總表!$E$69,LCC總表!$G$69,LCC總表!$I$69,LCC總表!$K$69,LCC總表!$M$69,LCC總表!$O$69,LCC總表!$Q$69,LCC總表!$S$69,LCC總表!$U$69,LCC總表!$W$69)</c:f>
              <c:numCache>
                <c:formatCode>"$"#,##0_);[Red]\("$"#,##0\)</c:formatCode>
                <c:ptCount val="5"/>
                <c:pt idx="0">
                  <c:v>118669552.23835403</c:v>
                </c:pt>
                <c:pt idx="1">
                  <c:v>64997900.834704801</c:v>
                </c:pt>
                <c:pt idx="2">
                  <c:v>53625966.433789149</c:v>
                </c:pt>
                <c:pt idx="3">
                  <c:v>67300427.261410981</c:v>
                </c:pt>
                <c:pt idx="4">
                  <c:v>105852601.72485593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5-4788-A516-F1087EC0C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58528"/>
        <c:axId val="90379392"/>
      </c:barChart>
      <c:catAx>
        <c:axId val="9075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標楷體" panose="03000509000000000000" pitchFamily="65" charset="-120"/>
                <a:ea typeface="標楷體" panose="03000509000000000000" pitchFamily="65" charset="-120"/>
                <a:cs typeface="Times New Roman" panose="02020603050405020304" pitchFamily="18" charset="0"/>
              </a:defRPr>
            </a:pPr>
            <a:endParaRPr lang="zh-TW"/>
          </a:p>
        </c:txPr>
        <c:crossAx val="90379392"/>
        <c:crosses val="autoZero"/>
        <c:auto val="1"/>
        <c:lblAlgn val="ctr"/>
        <c:lblOffset val="100"/>
        <c:noMultiLvlLbl val="0"/>
      </c:catAx>
      <c:valAx>
        <c:axId val="90379392"/>
        <c:scaling>
          <c:orientation val="minMax"/>
          <c:min val="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9075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'計算過程(勿更動)'!$C$41</c:f>
          <c:strCache>
            <c:ptCount val="1"/>
            <c:pt idx="0">
              <c:v>年度累積成本現值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'計算過程(勿更動)'!$C$42</c:f>
              <c:strCache>
                <c:ptCount val="1"/>
                <c:pt idx="0">
                  <c:v>車款 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'計算過程(勿更動)'!$D$42:$Y$42</c15:sqref>
                  </c15:fullRef>
                </c:ext>
              </c:extLst>
              <c:f>'計算過程(勿更動)'!$D$42:$K$42</c:f>
              <c:numCache>
                <c:formatCode>"$"#,##0_);[Red]\("$"#,##0\)</c:formatCode>
                <c:ptCount val="8"/>
                <c:pt idx="0">
                  <c:v>10364900.416228116</c:v>
                </c:pt>
                <c:pt idx="1">
                  <c:v>10287166.966777705</c:v>
                </c:pt>
                <c:pt idx="2">
                  <c:v>10209669.505006811</c:v>
                </c:pt>
                <c:pt idx="3">
                  <c:v>10136640.685969718</c:v>
                </c:pt>
                <c:pt idx="4">
                  <c:v>10068922.912681537</c:v>
                </c:pt>
                <c:pt idx="5">
                  <c:v>10003387.982109852</c:v>
                </c:pt>
                <c:pt idx="6">
                  <c:v>9941784.9301008973</c:v>
                </c:pt>
                <c:pt idx="7">
                  <c:v>9884125.1692717075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33-4270-97C3-78036F5296A1}"/>
            </c:ext>
          </c:extLst>
        </c:ser>
        <c:ser>
          <c:idx val="2"/>
          <c:order val="1"/>
          <c:tx>
            <c:strRef>
              <c:f>'計算過程(勿更動)'!$C$43</c:f>
              <c:strCache>
                <c:ptCount val="1"/>
                <c:pt idx="0">
                  <c:v>車款 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'計算過程(勿更動)'!$D$43:$Y$43</c15:sqref>
                  </c15:fullRef>
                </c:ext>
              </c:extLst>
              <c:f>'計算過程(勿更動)'!$D$43:$K$43</c:f>
              <c:numCache>
                <c:formatCode>"$"#,##0_);[Red]\("$"#,##0\)</c:formatCode>
                <c:ptCount val="8"/>
                <c:pt idx="0">
                  <c:v>6063231.9895614488</c:v>
                </c:pt>
                <c:pt idx="1">
                  <c:v>5967310.9053087477</c:v>
                </c:pt>
                <c:pt idx="2">
                  <c:v>5874206.0143479099</c:v>
                </c:pt>
                <c:pt idx="3">
                  <c:v>5787372.1676616101</c:v>
                </c:pt>
                <c:pt idx="4">
                  <c:v>5707590.6144253332</c:v>
                </c:pt>
                <c:pt idx="5">
                  <c:v>5632171.2884654896</c:v>
                </c:pt>
                <c:pt idx="6">
                  <c:v>5562675.6840952486</c:v>
                </c:pt>
                <c:pt idx="7">
                  <c:v>5499164.8513991889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A-4A43-98F9-81574E50BB08}"/>
            </c:ext>
          </c:extLst>
        </c:ser>
        <c:ser>
          <c:idx val="3"/>
          <c:order val="2"/>
          <c:tx>
            <c:strRef>
              <c:f>'計算過程(勿更動)'!$C$44</c:f>
              <c:strCache>
                <c:ptCount val="1"/>
                <c:pt idx="0">
                  <c:v>車款 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'計算過程(勿更動)'!$D$44:$Y$44</c15:sqref>
                  </c15:fullRef>
                </c:ext>
              </c:extLst>
              <c:f>'計算過程(勿更動)'!$D$44:$K$44</c:f>
              <c:numCache>
                <c:formatCode>"$"#,##0_);[Red]\("$"#,##0\)</c:formatCode>
                <c:ptCount val="8"/>
                <c:pt idx="0">
                  <c:v>4363232.2295614481</c:v>
                </c:pt>
                <c:pt idx="1">
                  <c:v>4332282.7157868976</c:v>
                </c:pt>
                <c:pt idx="2">
                  <c:v>4302973.2657619873</c:v>
                </c:pt>
                <c:pt idx="3">
                  <c:v>4281807.457822172</c:v>
                </c:pt>
                <c:pt idx="4">
                  <c:v>4270321.5764344856</c:v>
                </c:pt>
                <c:pt idx="5">
                  <c:v>4263603.2267731894</c:v>
                </c:pt>
                <c:pt idx="6">
                  <c:v>4264633.5740034161</c:v>
                </c:pt>
                <c:pt idx="7">
                  <c:v>4273605.3182734149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2A-4A43-98F9-81574E50BB08}"/>
            </c:ext>
          </c:extLst>
        </c:ser>
        <c:ser>
          <c:idx val="4"/>
          <c:order val="3"/>
          <c:tx>
            <c:strRef>
              <c:f>'計算過程(勿更動)'!$C$45</c:f>
              <c:strCache>
                <c:ptCount val="1"/>
                <c:pt idx="0">
                  <c:v>車款 4</c:v>
                </c:pt>
              </c:strCache>
            </c:strRef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'計算過程(勿更動)'!$D$45:$Y$45</c15:sqref>
                  </c15:fullRef>
                </c:ext>
              </c:extLst>
              <c:f>'計算過程(勿更動)'!$D$45:$K$45</c:f>
              <c:numCache>
                <c:formatCode>"$"#,##0_);[Red]\("$"#,##0\)</c:formatCode>
                <c:ptCount val="8"/>
                <c:pt idx="0">
                  <c:v>6071565.7828947837</c:v>
                </c:pt>
                <c:pt idx="1">
                  <c:v>5979824.1374123972</c:v>
                </c:pt>
                <c:pt idx="2">
                  <c:v>5890823.0281095169</c:v>
                </c:pt>
                <c:pt idx="3">
                  <c:v>5808213.4220424267</c:v>
                </c:pt>
                <c:pt idx="4">
                  <c:v>5732825.137687725</c:v>
                </c:pt>
                <c:pt idx="5">
                  <c:v>5661825.1527071353</c:v>
                </c:pt>
                <c:pt idx="6">
                  <c:v>5596866.2848550836</c:v>
                </c:pt>
                <c:pt idx="7">
                  <c:v>5538018.0528952358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40-4504-A816-84106FEC0C67}"/>
            </c:ext>
          </c:extLst>
        </c:ser>
        <c:ser>
          <c:idx val="5"/>
          <c:order val="4"/>
          <c:tx>
            <c:strRef>
              <c:f>'計算過程(勿更動)'!$C$46</c:f>
              <c:strCache>
                <c:ptCount val="1"/>
                <c:pt idx="0">
                  <c:v>車款 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'計算過程(勿更動)'!$D$46:$Y$46</c15:sqref>
                  </c15:fullRef>
                </c:ext>
              </c:extLst>
              <c:f>'計算過程(勿更動)'!$D$46:$K$46</c:f>
              <c:numCache>
                <c:formatCode>"$"#,##0_);[Red]\("$"#,##0\)</c:formatCode>
                <c:ptCount val="8"/>
                <c:pt idx="0">
                  <c:v>5442037.6436097557</c:v>
                </c:pt>
                <c:pt idx="1">
                  <c:v>5918544.6245048074</c:v>
                </c:pt>
                <c:pt idx="2">
                  <c:v>6399793.575350292</c:v>
                </c:pt>
                <c:pt idx="3">
                  <c:v>6881698.8720568782</c:v>
                </c:pt>
                <c:pt idx="4">
                  <c:v>7371894.8052313225</c:v>
                </c:pt>
                <c:pt idx="5">
                  <c:v>7873330.2862640396</c:v>
                </c:pt>
                <c:pt idx="6">
                  <c:v>8379565.4678002484</c:v>
                </c:pt>
                <c:pt idx="7">
                  <c:v>8887774.1709081661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40-4504-A816-84106FEC0C67}"/>
            </c:ext>
          </c:extLst>
        </c:ser>
        <c:ser>
          <c:idx val="0"/>
          <c:order val="5"/>
          <c:tx>
            <c:strRef>
              <c:f>'計算過程(勿更動)'!$C$47</c:f>
              <c:strCache>
                <c:ptCount val="1"/>
                <c:pt idx="0">
                  <c:v>車款 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'計算過程(勿更動)'!$D$47:$Y$47</c15:sqref>
                  </c15:fullRef>
                </c:ext>
              </c:extLst>
              <c:f>'計算過程(勿更動)'!$D$47:$K$47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CA-401A-A8E4-A24B55E1D0C1}"/>
            </c:ext>
          </c:extLst>
        </c:ser>
        <c:ser>
          <c:idx val="6"/>
          <c:order val="6"/>
          <c:tx>
            <c:strRef>
              <c:f>'計算過程(勿更動)'!$C$48</c:f>
              <c:strCache>
                <c:ptCount val="1"/>
                <c:pt idx="0">
                  <c:v>車款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'計算過程(勿更動)'!$D$48:$Y$48</c15:sqref>
                  </c15:fullRef>
                </c:ext>
              </c:extLst>
              <c:f>'計算過程(勿更動)'!$D$48:$K$48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CA-401A-A8E4-A24B55E1D0C1}"/>
            </c:ext>
          </c:extLst>
        </c:ser>
        <c:ser>
          <c:idx val="7"/>
          <c:order val="7"/>
          <c:tx>
            <c:strRef>
              <c:f>'計算過程(勿更動)'!$C$49</c:f>
              <c:strCache>
                <c:ptCount val="1"/>
                <c:pt idx="0">
                  <c:v>車款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'計算過程(勿更動)'!$D$49:$Y$49</c15:sqref>
                  </c15:fullRef>
                </c:ext>
              </c:extLst>
              <c:f>'計算過程(勿更動)'!$D$49:$K$49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CA-401A-A8E4-A24B55E1D0C1}"/>
            </c:ext>
          </c:extLst>
        </c:ser>
        <c:ser>
          <c:idx val="8"/>
          <c:order val="8"/>
          <c:tx>
            <c:strRef>
              <c:f>'計算過程(勿更動)'!$C$50</c:f>
              <c:strCache>
                <c:ptCount val="1"/>
                <c:pt idx="0">
                  <c:v>車款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'計算過程(勿更動)'!$D$50:$Y$50</c15:sqref>
                  </c15:fullRef>
                </c:ext>
              </c:extLst>
              <c:f>'計算過程(勿更動)'!$D$50:$K$50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9CA-401A-A8E4-A24B55E1D0C1}"/>
            </c:ext>
          </c:extLst>
        </c:ser>
        <c:ser>
          <c:idx val="9"/>
          <c:order val="9"/>
          <c:tx>
            <c:strRef>
              <c:f>'計算過程(勿更動)'!$C$51</c:f>
              <c:strCache>
                <c:ptCount val="1"/>
                <c:pt idx="0">
                  <c:v>車款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'計算過程(勿更動)'!$D$51:$Y$51</c15:sqref>
                  </c15:fullRef>
                </c:ext>
              </c:extLst>
              <c:f>'計算過程(勿更動)'!$D$51:$K$51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CA-401A-A8E4-A24B55E1D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06272"/>
        <c:axId val="90416640"/>
      </c:lineChart>
      <c:catAx>
        <c:axId val="9040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0416640"/>
        <c:crosses val="autoZero"/>
        <c:auto val="1"/>
        <c:lblAlgn val="ctr"/>
        <c:lblOffset val="100"/>
        <c:noMultiLvlLbl val="0"/>
      </c:catAx>
      <c:valAx>
        <c:axId val="90416640"/>
        <c:scaling>
          <c:orientation val="minMax"/>
          <c:min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9040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LCC總表!$C$72</c:f>
              <c:strCache>
                <c:ptCount val="1"/>
                <c:pt idx="0">
                  <c:v>參考補助值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(LCC總表!$E$12,LCC總表!$G$12,LCC總表!$I$12,LCC總表!$K$12,LCC總表!$M$12,LCC總表!$O$12,LCC總表!$Q$12,LCC總表!$S$12,LCC總表!$U$12,LCC總表!$W$12)</c15:sqref>
                  </c15:fullRef>
                </c:ext>
              </c:extLst>
              <c:f>(LCC總表!$E$12,LCC總表!$G$12,LCC總表!$I$12,LCC總表!$K$12,LCC總表!$O$12,LCC總表!$Q$12,LCC總表!$S$12,LCC總表!$U$12,LCC總表!$W$12)</c:f>
              <c:strCache>
                <c:ptCount val="4"/>
                <c:pt idx="0">
                  <c:v>車款 1</c:v>
                </c:pt>
                <c:pt idx="1">
                  <c:v>車款 2</c:v>
                </c:pt>
                <c:pt idx="2">
                  <c:v>車款 3</c:v>
                </c:pt>
                <c:pt idx="3">
                  <c:v>車款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(LCC總表!$E$72,LCC總表!$G$72,LCC總表!$I$72,LCC總表!$K$72,LCC總表!$M$72,LCC總表!$O$72,LCC總表!$Q$72,LCC總表!$S$72,LCC總表!$U$72,LCC總表!$W$72)</c15:sqref>
                  </c15:fullRef>
                </c:ext>
              </c:extLst>
              <c:f>(LCC總表!$E$72,LCC總表!$G$72,LCC總表!$I$72,LCC總表!$K$72,LCC總表!$O$72,LCC總表!$Q$72,LCC總表!$S$72,LCC總表!$U$72,LCC總表!$W$72)</c:f>
              <c:numCache>
                <c:formatCode>"$"#,##0_);[Red]\("$"#,##0\)</c:formatCode>
                <c:ptCount val="4"/>
                <c:pt idx="0">
                  <c:v>5771567.9463902246</c:v>
                </c:pt>
                <c:pt idx="1">
                  <c:v>1298930.3294194564</c:v>
                </c:pt>
                <c:pt idx="2">
                  <c:v>351269.12934315205</c:v>
                </c:pt>
                <c:pt idx="3">
                  <c:v>1490807.531644972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6-46DC-AB9B-A7E5B75FB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58528"/>
        <c:axId val="90379392"/>
      </c:barChart>
      <c:catAx>
        <c:axId val="9075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標楷體" panose="03000509000000000000" pitchFamily="65" charset="-120"/>
                <a:ea typeface="標楷體" panose="03000509000000000000" pitchFamily="65" charset="-120"/>
                <a:cs typeface="+mn-cs"/>
              </a:defRPr>
            </a:pPr>
            <a:endParaRPr lang="zh-TW"/>
          </a:p>
        </c:txPr>
        <c:crossAx val="90379392"/>
        <c:crosses val="autoZero"/>
        <c:auto val="1"/>
        <c:lblAlgn val="ctr"/>
        <c:lblOffset val="100"/>
        <c:noMultiLvlLbl val="0"/>
      </c:catAx>
      <c:valAx>
        <c:axId val="9037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9075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標楷體" panose="03000509000000000000" pitchFamily="65" charset="-120"/>
                <a:ea typeface="標楷體" panose="03000509000000000000" pitchFamily="65" charset="-120"/>
                <a:cs typeface="+mn-cs"/>
              </a:defRPr>
            </a:pPr>
            <a:r>
              <a:rPr lang="zh-TW" altLang="en-US">
                <a:latin typeface="標楷體" panose="03000509000000000000" pitchFamily="65" charset="-120"/>
                <a:ea typeface="標楷體" panose="03000509000000000000" pitchFamily="65" charset="-120"/>
              </a:rPr>
              <a:t>每輛車成本結構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LCC總表!$C$24</c:f>
              <c:strCache>
                <c:ptCount val="1"/>
                <c:pt idx="0">
                  <c:v>資產採購成本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(LCC總表!$E$12,LCC總表!$G$12,LCC總表!$I$12,LCC總表!$K$12,LCC總表!$M$12,LCC總表!$O$12,LCC總表!$Q$12,LCC總表!$S$12,LCC總表!$U$12,LCC總表!$W$12)</c:f>
              <c:strCache>
                <c:ptCount val="5"/>
                <c:pt idx="0">
                  <c:v>車款 1</c:v>
                </c:pt>
                <c:pt idx="1">
                  <c:v>車款 2</c:v>
                </c:pt>
                <c:pt idx="2">
                  <c:v>車款 3</c:v>
                </c:pt>
                <c:pt idx="3">
                  <c:v>車款 4</c:v>
                </c:pt>
                <c:pt idx="4">
                  <c:v>車款 5</c:v>
                </c:pt>
              </c:strCache>
            </c:strRef>
          </c:cat>
          <c:val>
            <c:numRef>
              <c:f>(LCC總表!$E$24,LCC總表!$G$24,LCC總表!$I$24,LCC總表!$K$24,LCC總表!$M$24,LCC總表!$O$24,LCC總表!$Q$24,LCC總表!$S$24,LCC總表!$U$24,LCC總表!$W$24)</c:f>
              <c:numCache>
                <c:formatCode>_-"$"* #,##0_-;\-"$"* #,##0_-;_-"$"* "-"??_-;_-@_-</c:formatCode>
                <c:ptCount val="5"/>
                <c:pt idx="0">
                  <c:v>13651668.426666668</c:v>
                </c:pt>
                <c:pt idx="1">
                  <c:v>9350000</c:v>
                </c:pt>
                <c:pt idx="2">
                  <c:v>7650000.2400000002</c:v>
                </c:pt>
                <c:pt idx="3">
                  <c:v>9358333.7933333348</c:v>
                </c:pt>
                <c:pt idx="4">
                  <c:v>5300000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5-4C4B-8131-CE4F27921AA8}"/>
            </c:ext>
          </c:extLst>
        </c:ser>
        <c:ser>
          <c:idx val="1"/>
          <c:order val="1"/>
          <c:tx>
            <c:strRef>
              <c:f>LCC總表!$C$34</c:f>
              <c:strCache>
                <c:ptCount val="1"/>
                <c:pt idx="0">
                  <c:v>運行成本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(LCC總表!$E$34,LCC總表!$G$34,LCC總表!$I$34,LCC總表!$K$34,LCC總表!$M$34,LCC總表!$O$34,LCC總表!$Q$34,LCC總表!$S$34,LCC總表!$U$34,LCC總表!$W$34)</c:f>
              <c:numCache>
                <c:formatCode>"$"#,##0_);[Red]\("$"#,##0\)</c:formatCode>
                <c:ptCount val="5"/>
                <c:pt idx="0">
                  <c:v>735778.12255871657</c:v>
                </c:pt>
                <c:pt idx="1">
                  <c:v>564808.93225461652</c:v>
                </c:pt>
                <c:pt idx="2">
                  <c:v>1317147.4921783113</c:v>
                </c:pt>
                <c:pt idx="3">
                  <c:v>748352.34114679671</c:v>
                </c:pt>
                <c:pt idx="4">
                  <c:v>3196450.050218605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5-4C4B-8131-CE4F27921AA8}"/>
            </c:ext>
          </c:extLst>
        </c:ser>
        <c:ser>
          <c:idx val="2"/>
          <c:order val="2"/>
          <c:tx>
            <c:strRef>
              <c:f>LCC總表!$C$41</c:f>
              <c:strCache>
                <c:ptCount val="1"/>
                <c:pt idx="0">
                  <c:v>保養服務成本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(LCC總表!$E$41,LCC總表!$G$41,LCC總表!$I$41,LCC總表!$K$41,LCC總表!$M$41,LCC總表!$O$41,LCC總表!$Q$41,LCC總表!$S$41,LCC總表!$U$41,LCC總表!$W$41)</c:f>
              <c:numCache>
                <c:formatCode>_-"$"* #,##0_-;\-"$"* #,##0_-;_-"$"* "-"??_-;_-@_-</c:formatCode>
                <c:ptCount val="5"/>
                <c:pt idx="0">
                  <c:v>131677.63493620176</c:v>
                </c:pt>
                <c:pt idx="1">
                  <c:v>131677.63493620176</c:v>
                </c:pt>
                <c:pt idx="2">
                  <c:v>131677.63493620176</c:v>
                </c:pt>
                <c:pt idx="3">
                  <c:v>131677.63493620176</c:v>
                </c:pt>
                <c:pt idx="4">
                  <c:v>251106.1875527568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45-4C4B-8131-CE4F27921AA8}"/>
            </c:ext>
          </c:extLst>
        </c:ser>
        <c:ser>
          <c:idx val="3"/>
          <c:order val="3"/>
          <c:tx>
            <c:strRef>
              <c:f>LCC總表!$C$56</c:f>
              <c:strCache>
                <c:ptCount val="1"/>
                <c:pt idx="0">
                  <c:v>課稅、補助與其他成本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(LCC總表!$E$56,LCC總表!$G$56,LCC總表!$I$56,LCC總表!$K$56,LCC總表!$M$56,LCC總表!$O$56,LCC總表!$Q$56,LCC總表!$S$56,LCC總表!$U$56,LCC總表!$W$56)</c:f>
              <c:numCache>
                <c:formatCode>"$"#,##0_);[Red]\("$"#,##0\)</c:formatCode>
                <c:ptCount val="5"/>
                <c:pt idx="0">
                  <c:v>-4629994.8309654174</c:v>
                </c:pt>
                <c:pt idx="1">
                  <c:v>-4629994.8309654174</c:v>
                </c:pt>
                <c:pt idx="2">
                  <c:v>-4629994.8309654174</c:v>
                </c:pt>
                <c:pt idx="3">
                  <c:v>-4629994.8309654174</c:v>
                </c:pt>
                <c:pt idx="4">
                  <c:v>73493.905966632316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45-4C4B-8131-CE4F27921AA8}"/>
            </c:ext>
          </c:extLst>
        </c:ser>
        <c:ser>
          <c:idx val="4"/>
          <c:order val="4"/>
          <c:tx>
            <c:strRef>
              <c:f>LCC總表!$C$65</c:f>
              <c:strCache>
                <c:ptCount val="1"/>
                <c:pt idx="0">
                  <c:v>回收價格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(LCC總表!$E$65,LCC總表!$G$65,LCC總表!$I$65,LCC總表!$K$65,LCC總表!$M$65,LCC總表!$O$65,LCC總表!$Q$65,LCC總表!$S$65,LCC總表!$U$65,LCC總表!$W$65)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45-4C4B-8131-CE4F27921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31648"/>
        <c:axId val="90733184"/>
      </c:barChart>
      <c:catAx>
        <c:axId val="9073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0733184"/>
        <c:crosses val="autoZero"/>
        <c:auto val="1"/>
        <c:lblAlgn val="ctr"/>
        <c:lblOffset val="100"/>
        <c:noMultiLvlLbl val="0"/>
      </c:catAx>
      <c:valAx>
        <c:axId val="9073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9073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標楷體" panose="03000509000000000000" pitchFamily="65" charset="-120"/>
                <a:ea typeface="標楷體" panose="03000509000000000000" pitchFamily="65" charset="-120"/>
                <a:cs typeface="+mn-cs"/>
              </a:defRPr>
            </a:pPr>
            <a:r>
              <a:rPr lang="zh-TW" altLang="en-US">
                <a:latin typeface="標楷體" panose="03000509000000000000" pitchFamily="65" charset="-120"/>
                <a:ea typeface="標楷體" panose="03000509000000000000" pitchFamily="65" charset="-120"/>
              </a:rPr>
              <a:t>補助後之車輛全生命週期成本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LCC總表!$C$69</c:f>
              <c:strCache>
                <c:ptCount val="1"/>
                <c:pt idx="0">
                  <c:v>補助後所有車輛全生命週期成本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(LCC總表!$E$12,LCC總表!$G$12,LCC總表!$I$12,LCC總表!$K$12,LCC總表!$M$12,LCC總表!$O$12,LCC總表!$Q$12,LCC總表!$S$12,LCC總表!$U$12,LCC總表!$W$12)</c:f>
              <c:strCache>
                <c:ptCount val="5"/>
                <c:pt idx="0">
                  <c:v>車款 1</c:v>
                </c:pt>
                <c:pt idx="1">
                  <c:v>車款 2</c:v>
                </c:pt>
                <c:pt idx="2">
                  <c:v>車款 3</c:v>
                </c:pt>
                <c:pt idx="3">
                  <c:v>車款 4</c:v>
                </c:pt>
                <c:pt idx="4">
                  <c:v>車款 5</c:v>
                </c:pt>
              </c:strCache>
            </c:strRef>
          </c:cat>
          <c:val>
            <c:numRef>
              <c:f>(LCC總表!$E$69,LCC總表!$G$69,LCC總表!$I$69,LCC總表!$K$69,LCC總表!$M$69,LCC總表!$O$69,LCC總表!$Q$69,LCC總表!$S$69,LCC總表!$U$69,LCC總表!$W$69)</c:f>
              <c:numCache>
                <c:formatCode>"$"#,##0_);[Red]\("$"#,##0\)</c:formatCode>
                <c:ptCount val="5"/>
                <c:pt idx="0">
                  <c:v>118669552.23835403</c:v>
                </c:pt>
                <c:pt idx="1">
                  <c:v>64997900.834704801</c:v>
                </c:pt>
                <c:pt idx="2">
                  <c:v>53625966.433789149</c:v>
                </c:pt>
                <c:pt idx="3">
                  <c:v>67300427.261410981</c:v>
                </c:pt>
                <c:pt idx="4">
                  <c:v>105852601.72485593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25-44A9-85D6-56CF752F1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58528"/>
        <c:axId val="90379392"/>
      </c:barChart>
      <c:catAx>
        <c:axId val="9075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標楷體" panose="03000509000000000000" pitchFamily="65" charset="-120"/>
                <a:ea typeface="標楷體" panose="03000509000000000000" pitchFamily="65" charset="-120"/>
                <a:cs typeface="Times New Roman" panose="02020603050405020304" pitchFamily="18" charset="0"/>
              </a:defRPr>
            </a:pPr>
            <a:endParaRPr lang="zh-TW"/>
          </a:p>
        </c:txPr>
        <c:crossAx val="90379392"/>
        <c:crosses val="autoZero"/>
        <c:auto val="1"/>
        <c:lblAlgn val="ctr"/>
        <c:lblOffset val="100"/>
        <c:noMultiLvlLbl val="0"/>
      </c:catAx>
      <c:valAx>
        <c:axId val="90379392"/>
        <c:scaling>
          <c:orientation val="minMax"/>
          <c:min val="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9075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'計算過程(勿更動)'!$C$41</c:f>
          <c:strCache>
            <c:ptCount val="1"/>
            <c:pt idx="0">
              <c:v>年度累積成本現值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'計算過程(勿更動)'!$C$42</c:f>
              <c:strCache>
                <c:ptCount val="1"/>
                <c:pt idx="0">
                  <c:v>車款 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'計算過程(勿更動)'!$D$42:$Y$42</c15:sqref>
                  </c15:fullRef>
                </c:ext>
              </c:extLst>
              <c:f>'計算過程(勿更動)'!$D$42:$K$42</c:f>
              <c:numCache>
                <c:formatCode>"$"#,##0_);[Red]\("$"#,##0\)</c:formatCode>
                <c:ptCount val="8"/>
                <c:pt idx="0">
                  <c:v>10364900.416228116</c:v>
                </c:pt>
                <c:pt idx="1">
                  <c:v>10287166.966777705</c:v>
                </c:pt>
                <c:pt idx="2">
                  <c:v>10209669.505006811</c:v>
                </c:pt>
                <c:pt idx="3">
                  <c:v>10136640.685969718</c:v>
                </c:pt>
                <c:pt idx="4">
                  <c:v>10068922.912681537</c:v>
                </c:pt>
                <c:pt idx="5">
                  <c:v>10003387.982109852</c:v>
                </c:pt>
                <c:pt idx="6">
                  <c:v>9941784.9301008973</c:v>
                </c:pt>
                <c:pt idx="7">
                  <c:v>9884125.1692717075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C-42A6-B77A-4CD7B89FAB69}"/>
            </c:ext>
          </c:extLst>
        </c:ser>
        <c:ser>
          <c:idx val="2"/>
          <c:order val="1"/>
          <c:tx>
            <c:strRef>
              <c:f>'計算過程(勿更動)'!$C$43</c:f>
              <c:strCache>
                <c:ptCount val="1"/>
                <c:pt idx="0">
                  <c:v>車款 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'計算過程(勿更動)'!$D$43:$Y$43</c15:sqref>
                  </c15:fullRef>
                </c:ext>
              </c:extLst>
              <c:f>'計算過程(勿更動)'!$D$43:$K$43</c:f>
              <c:numCache>
                <c:formatCode>"$"#,##0_);[Red]\("$"#,##0\)</c:formatCode>
                <c:ptCount val="8"/>
                <c:pt idx="0">
                  <c:v>6063231.9895614488</c:v>
                </c:pt>
                <c:pt idx="1">
                  <c:v>5967310.9053087477</c:v>
                </c:pt>
                <c:pt idx="2">
                  <c:v>5874206.0143479099</c:v>
                </c:pt>
                <c:pt idx="3">
                  <c:v>5787372.1676616101</c:v>
                </c:pt>
                <c:pt idx="4">
                  <c:v>5707590.6144253332</c:v>
                </c:pt>
                <c:pt idx="5">
                  <c:v>5632171.2884654896</c:v>
                </c:pt>
                <c:pt idx="6">
                  <c:v>5562675.6840952486</c:v>
                </c:pt>
                <c:pt idx="7">
                  <c:v>5499164.8513991889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0C-42A6-B77A-4CD7B89FAB69}"/>
            </c:ext>
          </c:extLst>
        </c:ser>
        <c:ser>
          <c:idx val="3"/>
          <c:order val="2"/>
          <c:tx>
            <c:strRef>
              <c:f>'計算過程(勿更動)'!$C$44</c:f>
              <c:strCache>
                <c:ptCount val="1"/>
                <c:pt idx="0">
                  <c:v>車款 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'計算過程(勿更動)'!$D$44:$Y$44</c15:sqref>
                  </c15:fullRef>
                </c:ext>
              </c:extLst>
              <c:f>'計算過程(勿更動)'!$D$44:$K$44</c:f>
              <c:numCache>
                <c:formatCode>"$"#,##0_);[Red]\("$"#,##0\)</c:formatCode>
                <c:ptCount val="8"/>
                <c:pt idx="0">
                  <c:v>4363232.2295614481</c:v>
                </c:pt>
                <c:pt idx="1">
                  <c:v>4332282.7157868976</c:v>
                </c:pt>
                <c:pt idx="2">
                  <c:v>4302973.2657619873</c:v>
                </c:pt>
                <c:pt idx="3">
                  <c:v>4281807.457822172</c:v>
                </c:pt>
                <c:pt idx="4">
                  <c:v>4270321.5764344856</c:v>
                </c:pt>
                <c:pt idx="5">
                  <c:v>4263603.2267731894</c:v>
                </c:pt>
                <c:pt idx="6">
                  <c:v>4264633.5740034161</c:v>
                </c:pt>
                <c:pt idx="7">
                  <c:v>4273605.3182734149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0C-42A6-B77A-4CD7B89FAB69}"/>
            </c:ext>
          </c:extLst>
        </c:ser>
        <c:ser>
          <c:idx val="4"/>
          <c:order val="3"/>
          <c:tx>
            <c:strRef>
              <c:f>'計算過程(勿更動)'!$C$45</c:f>
              <c:strCache>
                <c:ptCount val="1"/>
                <c:pt idx="0">
                  <c:v>車款 4</c:v>
                </c:pt>
              </c:strCache>
            </c:strRef>
          </c:tx>
          <c:spPr>
            <a:ln w="2857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'計算過程(勿更動)'!$D$45:$Y$45</c15:sqref>
                  </c15:fullRef>
                </c:ext>
              </c:extLst>
              <c:f>'計算過程(勿更動)'!$D$45:$K$45</c:f>
              <c:numCache>
                <c:formatCode>"$"#,##0_);[Red]\("$"#,##0\)</c:formatCode>
                <c:ptCount val="8"/>
                <c:pt idx="0">
                  <c:v>6071565.7828947837</c:v>
                </c:pt>
                <c:pt idx="1">
                  <c:v>5979824.1374123972</c:v>
                </c:pt>
                <c:pt idx="2">
                  <c:v>5890823.0281095169</c:v>
                </c:pt>
                <c:pt idx="3">
                  <c:v>5808213.4220424267</c:v>
                </c:pt>
                <c:pt idx="4">
                  <c:v>5732825.137687725</c:v>
                </c:pt>
                <c:pt idx="5">
                  <c:v>5661825.1527071353</c:v>
                </c:pt>
                <c:pt idx="6">
                  <c:v>5596866.2848550836</c:v>
                </c:pt>
                <c:pt idx="7">
                  <c:v>5538018.0528952358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0C-42A6-B77A-4CD7B89FAB69}"/>
            </c:ext>
          </c:extLst>
        </c:ser>
        <c:ser>
          <c:idx val="5"/>
          <c:order val="4"/>
          <c:tx>
            <c:strRef>
              <c:f>'計算過程(勿更動)'!$C$46</c:f>
              <c:strCache>
                <c:ptCount val="1"/>
                <c:pt idx="0">
                  <c:v>車款 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'計算過程(勿更動)'!$D$46:$Y$46</c15:sqref>
                  </c15:fullRef>
                </c:ext>
              </c:extLst>
              <c:f>'計算過程(勿更動)'!$D$46:$K$46</c:f>
              <c:numCache>
                <c:formatCode>"$"#,##0_);[Red]\("$"#,##0\)</c:formatCode>
                <c:ptCount val="8"/>
                <c:pt idx="0">
                  <c:v>5442037.6436097557</c:v>
                </c:pt>
                <c:pt idx="1">
                  <c:v>5918544.6245048074</c:v>
                </c:pt>
                <c:pt idx="2">
                  <c:v>6399793.575350292</c:v>
                </c:pt>
                <c:pt idx="3">
                  <c:v>6881698.8720568782</c:v>
                </c:pt>
                <c:pt idx="4">
                  <c:v>7371894.8052313225</c:v>
                </c:pt>
                <c:pt idx="5">
                  <c:v>7873330.2862640396</c:v>
                </c:pt>
                <c:pt idx="6">
                  <c:v>8379565.4678002484</c:v>
                </c:pt>
                <c:pt idx="7">
                  <c:v>8887774.1709081661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40C-42A6-B77A-4CD7B89FAB69}"/>
            </c:ext>
          </c:extLst>
        </c:ser>
        <c:ser>
          <c:idx val="0"/>
          <c:order val="5"/>
          <c:tx>
            <c:strRef>
              <c:f>'計算過程(勿更動)'!$C$47</c:f>
              <c:strCache>
                <c:ptCount val="1"/>
                <c:pt idx="0">
                  <c:v>車款 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'計算過程(勿更動)'!$D$47:$Y$47</c15:sqref>
                  </c15:fullRef>
                </c:ext>
              </c:extLst>
              <c:f>'計算過程(勿更動)'!$D$47:$K$47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40C-42A6-B77A-4CD7B89FAB69}"/>
            </c:ext>
          </c:extLst>
        </c:ser>
        <c:ser>
          <c:idx val="6"/>
          <c:order val="6"/>
          <c:tx>
            <c:strRef>
              <c:f>'計算過程(勿更動)'!$C$48</c:f>
              <c:strCache>
                <c:ptCount val="1"/>
                <c:pt idx="0">
                  <c:v>車款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'計算過程(勿更動)'!$D$48:$Y$48</c15:sqref>
                  </c15:fullRef>
                </c:ext>
              </c:extLst>
              <c:f>'計算過程(勿更動)'!$D$48:$K$48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40C-42A6-B77A-4CD7B89FAB69}"/>
            </c:ext>
          </c:extLst>
        </c:ser>
        <c:ser>
          <c:idx val="7"/>
          <c:order val="7"/>
          <c:tx>
            <c:strRef>
              <c:f>'計算過程(勿更動)'!$C$49</c:f>
              <c:strCache>
                <c:ptCount val="1"/>
                <c:pt idx="0">
                  <c:v>車款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'計算過程(勿更動)'!$D$49:$Y$49</c15:sqref>
                  </c15:fullRef>
                </c:ext>
              </c:extLst>
              <c:f>'計算過程(勿更動)'!$D$49:$K$49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40C-42A6-B77A-4CD7B89FAB69}"/>
            </c:ext>
          </c:extLst>
        </c:ser>
        <c:ser>
          <c:idx val="8"/>
          <c:order val="8"/>
          <c:tx>
            <c:strRef>
              <c:f>'計算過程(勿更動)'!$C$50</c:f>
              <c:strCache>
                <c:ptCount val="1"/>
                <c:pt idx="0">
                  <c:v>車款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'計算過程(勿更動)'!$D$50:$Y$50</c15:sqref>
                  </c15:fullRef>
                </c:ext>
              </c:extLst>
              <c:f>'計算過程(勿更動)'!$D$50:$K$50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40C-42A6-B77A-4CD7B89FAB69}"/>
            </c:ext>
          </c:extLst>
        </c:ser>
        <c:ser>
          <c:idx val="9"/>
          <c:order val="9"/>
          <c:tx>
            <c:strRef>
              <c:f>'計算過程(勿更動)'!$C$51</c:f>
              <c:strCache>
                <c:ptCount val="1"/>
                <c:pt idx="0">
                  <c:v>車款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'計算過程(勿更動)'!$D$51:$Y$51</c15:sqref>
                  </c15:fullRef>
                </c:ext>
              </c:extLst>
              <c:f>'計算過程(勿更動)'!$D$51:$K$51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40C-42A6-B77A-4CD7B89FA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06272"/>
        <c:axId val="90416640"/>
      </c:lineChart>
      <c:catAx>
        <c:axId val="9040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0416640"/>
        <c:crosses val="autoZero"/>
        <c:auto val="1"/>
        <c:lblAlgn val="ctr"/>
        <c:lblOffset val="100"/>
        <c:noMultiLvlLbl val="0"/>
      </c:catAx>
      <c:valAx>
        <c:axId val="90416640"/>
        <c:scaling>
          <c:orientation val="minMax"/>
          <c:min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9040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標楷體" panose="03000509000000000000" pitchFamily="65" charset="-120"/>
              <a:ea typeface="標楷體" panose="03000509000000000000" pitchFamily="65" charset="-120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LCC總表!$C$72</c:f>
              <c:strCache>
                <c:ptCount val="1"/>
                <c:pt idx="0">
                  <c:v>參考補助值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(LCC總表!$E$12,LCC總表!$G$12,LCC總表!$I$12,LCC總表!$K$12,LCC總表!$M$12,LCC總表!$O$12,LCC總表!$Q$12,LCC總表!$S$12,LCC總表!$U$12,LCC總表!$W$12)</c15:sqref>
                  </c15:fullRef>
                </c:ext>
              </c:extLst>
              <c:f>(LCC總表!$E$12,LCC總表!$G$12,LCC總表!$I$12,LCC總表!$K$12,LCC總表!$O$12,LCC總表!$Q$12,LCC總表!$S$12,LCC總表!$U$12,LCC總表!$W$12)</c:f>
              <c:strCache>
                <c:ptCount val="4"/>
                <c:pt idx="0">
                  <c:v>車款 1</c:v>
                </c:pt>
                <c:pt idx="1">
                  <c:v>車款 2</c:v>
                </c:pt>
                <c:pt idx="2">
                  <c:v>車款 3</c:v>
                </c:pt>
                <c:pt idx="3">
                  <c:v>車款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(LCC總表!$E$72,LCC總表!$G$72,LCC總表!$I$72,LCC總表!$K$72,LCC總表!$M$72,LCC總表!$O$72,LCC總表!$Q$72,LCC總表!$S$72,LCC總表!$U$72,LCC總表!$W$72)</c15:sqref>
                  </c15:fullRef>
                </c:ext>
              </c:extLst>
              <c:f>(LCC總表!$E$72,LCC總表!$G$72,LCC總表!$I$72,LCC總表!$K$72,LCC總表!$O$72,LCC總表!$Q$72,LCC總表!$S$72,LCC總表!$U$72,LCC總表!$W$72)</c:f>
              <c:numCache>
                <c:formatCode>"$"#,##0_);[Red]\("$"#,##0\)</c:formatCode>
                <c:ptCount val="4"/>
                <c:pt idx="0">
                  <c:v>5771567.9463902246</c:v>
                </c:pt>
                <c:pt idx="1">
                  <c:v>1298930.3294194564</c:v>
                </c:pt>
                <c:pt idx="2">
                  <c:v>351269.12934315205</c:v>
                </c:pt>
                <c:pt idx="3">
                  <c:v>1490807.531644972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E-4F9E-8EA9-1A2A34587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58528"/>
        <c:axId val="90379392"/>
      </c:barChart>
      <c:catAx>
        <c:axId val="9075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標楷體" panose="03000509000000000000" pitchFamily="65" charset="-120"/>
                <a:ea typeface="標楷體" panose="03000509000000000000" pitchFamily="65" charset="-120"/>
                <a:cs typeface="+mn-cs"/>
              </a:defRPr>
            </a:pPr>
            <a:endParaRPr lang="zh-TW"/>
          </a:p>
        </c:txPr>
        <c:crossAx val="90379392"/>
        <c:crosses val="autoZero"/>
        <c:auto val="1"/>
        <c:lblAlgn val="ctr"/>
        <c:lblOffset val="100"/>
        <c:noMultiLvlLbl val="0"/>
      </c:catAx>
      <c:valAx>
        <c:axId val="9037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9075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10</xdr:col>
      <xdr:colOff>9525</xdr:colOff>
      <xdr:row>34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2C85F4E-5F00-4349-A4EF-0B9800D96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</xdr:colOff>
      <xdr:row>1</xdr:row>
      <xdr:rowOff>0</xdr:rowOff>
    </xdr:from>
    <xdr:to>
      <xdr:col>10</xdr:col>
      <xdr:colOff>9525</xdr:colOff>
      <xdr:row>16</xdr:row>
      <xdr:rowOff>96750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BAE8117A-0028-49F4-BAA4-DA17316FE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9524</xdr:colOff>
      <xdr:row>1</xdr:row>
      <xdr:rowOff>9524</xdr:rowOff>
    </xdr:from>
    <xdr:to>
      <xdr:col>20</xdr:col>
      <xdr:colOff>0</xdr:colOff>
      <xdr:row>16</xdr:row>
      <xdr:rowOff>76199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A547666B-AC2C-4BC5-BB0A-B828AD751A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16</xdr:row>
      <xdr:rowOff>180975</xdr:rowOff>
    </xdr:from>
    <xdr:to>
      <xdr:col>20</xdr:col>
      <xdr:colOff>19050</xdr:colOff>
      <xdr:row>33</xdr:row>
      <xdr:rowOff>200025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5A9424BC-49AC-4F98-85B0-5B6FE1F53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16</xdr:row>
      <xdr:rowOff>66675</xdr:rowOff>
    </xdr:from>
    <xdr:to>
      <xdr:col>9</xdr:col>
      <xdr:colOff>276225</xdr:colOff>
      <xdr:row>33</xdr:row>
      <xdr:rowOff>66675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11019B81-9DD8-4100-8D78-4A184892D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278130</xdr:colOff>
      <xdr:row>0</xdr:row>
      <xdr:rowOff>66675</xdr:rowOff>
    </xdr:from>
    <xdr:to>
      <xdr:col>9</xdr:col>
      <xdr:colOff>276225</xdr:colOff>
      <xdr:row>15</xdr:row>
      <xdr:rowOff>163425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47397963-48FB-4F3D-8A65-3A1CF5EC8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276224</xdr:colOff>
      <xdr:row>0</xdr:row>
      <xdr:rowOff>76199</xdr:rowOff>
    </xdr:from>
    <xdr:to>
      <xdr:col>19</xdr:col>
      <xdr:colOff>266700</xdr:colOff>
      <xdr:row>15</xdr:row>
      <xdr:rowOff>142874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6C9EF3E2-BA84-4D33-B4E5-2E8E2863A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266700</xdr:colOff>
      <xdr:row>16</xdr:row>
      <xdr:rowOff>38100</xdr:rowOff>
    </xdr:from>
    <xdr:to>
      <xdr:col>19</xdr:col>
      <xdr:colOff>285750</xdr:colOff>
      <xdr:row>33</xdr:row>
      <xdr:rowOff>57150</xdr:rowOff>
    </xdr:to>
    <xdr:graphicFrame macro="">
      <xdr:nvGraphicFramePr>
        <xdr:cNvPr id="9" name="圖表 8">
          <a:extLst>
            <a:ext uri="{FF2B5EF4-FFF2-40B4-BE49-F238E27FC236}">
              <a16:creationId xmlns:a16="http://schemas.microsoft.com/office/drawing/2014/main" id="{3C922CCF-11FB-43FE-8C54-1AEA8C602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0" tint="-0.14999847407452621"/>
    <pageSetUpPr fitToPage="1"/>
  </sheetPr>
  <dimension ref="B5:AD86"/>
  <sheetViews>
    <sheetView topLeftCell="A20" zoomScale="85" zoomScaleNormal="85" workbookViewId="0">
      <selection activeCell="E34" sqref="E34"/>
    </sheetView>
  </sheetViews>
  <sheetFormatPr defaultColWidth="9" defaultRowHeight="16.5" outlineLevelRow="1"/>
  <cols>
    <col min="1" max="2" width="9" style="76"/>
    <col min="3" max="3" width="40.875" style="93" bestFit="1" customWidth="1"/>
    <col min="4" max="4" width="10.75" style="94" customWidth="1"/>
    <col min="5" max="5" width="17.625" style="76" customWidth="1"/>
    <col min="6" max="6" width="10.75" style="76" customWidth="1"/>
    <col min="7" max="7" width="17.625" style="76" customWidth="1"/>
    <col min="8" max="8" width="10.75" style="76" customWidth="1"/>
    <col min="9" max="9" width="17.625" style="76" customWidth="1"/>
    <col min="10" max="10" width="10.75" style="76" customWidth="1"/>
    <col min="11" max="11" width="17.625" style="76" customWidth="1"/>
    <col min="12" max="12" width="9" style="76" customWidth="1"/>
    <col min="13" max="13" width="17.625" style="76" customWidth="1"/>
    <col min="14" max="14" width="9" style="76" hidden="1" customWidth="1"/>
    <col min="15" max="15" width="17.625" style="76" hidden="1" customWidth="1"/>
    <col min="16" max="16" width="9" style="76" hidden="1" customWidth="1"/>
    <col min="17" max="17" width="17.625" style="76" hidden="1" customWidth="1"/>
    <col min="18" max="18" width="9" style="76" hidden="1" customWidth="1"/>
    <col min="19" max="19" width="17.625" style="76" hidden="1" customWidth="1"/>
    <col min="20" max="20" width="9" style="76" hidden="1" customWidth="1"/>
    <col min="21" max="21" width="17.625" style="76" hidden="1" customWidth="1"/>
    <col min="22" max="22" width="9" style="76" hidden="1" customWidth="1"/>
    <col min="23" max="23" width="17.625" style="76" hidden="1" customWidth="1"/>
    <col min="24" max="24" width="9" style="76"/>
    <col min="25" max="25" width="9" style="76" customWidth="1"/>
    <col min="26" max="26" width="13.375" style="76" bestFit="1" customWidth="1"/>
    <col min="27" max="27" width="12.75" style="76" customWidth="1"/>
    <col min="28" max="28" width="12.125" style="76" bestFit="1" customWidth="1"/>
    <col min="29" max="29" width="12.625" style="76" customWidth="1"/>
    <col min="30" max="30" width="12.125" style="76" bestFit="1" customWidth="1"/>
    <col min="31" max="16384" width="9" style="76"/>
  </cols>
  <sheetData>
    <row r="5" spans="2:30">
      <c r="B5" s="100" t="s">
        <v>0</v>
      </c>
      <c r="C5" s="101"/>
      <c r="D5" s="102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</row>
    <row r="6" spans="2:30">
      <c r="B6" s="103" t="s">
        <v>1</v>
      </c>
      <c r="C6" s="104" t="s">
        <v>2</v>
      </c>
      <c r="D6" s="105" t="s">
        <v>5</v>
      </c>
      <c r="E6" s="76">
        <v>8</v>
      </c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</row>
    <row r="7" spans="2:30">
      <c r="B7" s="103" t="s">
        <v>1</v>
      </c>
      <c r="C7" s="104" t="s">
        <v>3</v>
      </c>
      <c r="D7" s="105" t="s">
        <v>6</v>
      </c>
      <c r="E7" s="76">
        <v>2.5</v>
      </c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</row>
    <row r="8" spans="2:30">
      <c r="B8" s="103" t="s">
        <v>1</v>
      </c>
      <c r="C8" s="104" t="s">
        <v>4</v>
      </c>
      <c r="D8" s="105"/>
      <c r="E8" s="76">
        <v>5</v>
      </c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</row>
    <row r="9" spans="2:30">
      <c r="B9" s="103"/>
      <c r="C9" s="106" t="s">
        <v>134</v>
      </c>
      <c r="D9" s="105" t="s">
        <v>135</v>
      </c>
      <c r="E9" s="76">
        <v>2019</v>
      </c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</row>
    <row r="10" spans="2:30">
      <c r="B10" s="107"/>
      <c r="C10" s="108"/>
      <c r="D10" s="109"/>
    </row>
    <row r="11" spans="2:30">
      <c r="B11" s="100" t="s">
        <v>7</v>
      </c>
      <c r="C11" s="101"/>
      <c r="D11" s="102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Z11" s="76" t="s">
        <v>247</v>
      </c>
      <c r="AA11" s="76" t="s">
        <v>248</v>
      </c>
      <c r="AB11" s="76" t="s">
        <v>249</v>
      </c>
      <c r="AC11" s="76" t="s">
        <v>250</v>
      </c>
      <c r="AD11" s="76" t="s">
        <v>251</v>
      </c>
    </row>
    <row r="12" spans="2:30">
      <c r="B12" s="110"/>
      <c r="C12" s="111" t="s">
        <v>8</v>
      </c>
      <c r="D12" s="112"/>
      <c r="E12" s="82" t="s">
        <v>177</v>
      </c>
      <c r="F12" s="81"/>
      <c r="G12" s="82" t="s">
        <v>178</v>
      </c>
      <c r="H12" s="81"/>
      <c r="I12" s="82" t="s">
        <v>179</v>
      </c>
      <c r="J12" s="81"/>
      <c r="K12" s="82" t="s">
        <v>180</v>
      </c>
      <c r="L12" s="81"/>
      <c r="M12" s="82" t="s">
        <v>101</v>
      </c>
      <c r="N12" s="81"/>
      <c r="O12" s="82" t="s">
        <v>102</v>
      </c>
      <c r="P12" s="81"/>
      <c r="Q12" s="82" t="s">
        <v>103</v>
      </c>
      <c r="R12" s="81"/>
      <c r="S12" s="82" t="s">
        <v>104</v>
      </c>
      <c r="T12" s="81"/>
      <c r="U12" s="82" t="s">
        <v>105</v>
      </c>
      <c r="V12" s="81"/>
      <c r="W12" s="82" t="s">
        <v>106</v>
      </c>
      <c r="Y12" s="76" t="s">
        <v>252</v>
      </c>
      <c r="Z12" s="154">
        <f ca="1">E24</f>
        <v>13651668.426666668</v>
      </c>
      <c r="AA12" s="154">
        <f ca="1">G24</f>
        <v>9350000</v>
      </c>
      <c r="AB12" s="154">
        <f ca="1">I24</f>
        <v>7650000.2400000002</v>
      </c>
      <c r="AC12" s="154">
        <f ca="1">K24</f>
        <v>9358333.7933333348</v>
      </c>
      <c r="AD12" s="154">
        <f ca="1">M24</f>
        <v>5300000</v>
      </c>
    </row>
    <row r="13" spans="2:30">
      <c r="B13" s="110"/>
      <c r="C13" s="111"/>
      <c r="D13" s="113"/>
      <c r="E13" s="156" t="s">
        <v>176</v>
      </c>
      <c r="F13" s="83"/>
      <c r="G13" s="160" t="s">
        <v>183</v>
      </c>
      <c r="H13" s="83"/>
      <c r="I13" s="156" t="s">
        <v>182</v>
      </c>
      <c r="J13" s="83"/>
      <c r="K13" s="160" t="s">
        <v>181</v>
      </c>
      <c r="L13" s="83"/>
      <c r="M13" s="160" t="s">
        <v>50</v>
      </c>
      <c r="N13" s="83"/>
      <c r="O13" s="160"/>
      <c r="P13" s="83"/>
      <c r="Q13" s="160"/>
      <c r="R13" s="83"/>
      <c r="S13" s="160"/>
      <c r="T13" s="83"/>
      <c r="U13" s="160"/>
      <c r="V13" s="83"/>
      <c r="W13" s="160"/>
      <c r="Y13" s="76" t="s">
        <v>253</v>
      </c>
      <c r="Z13" s="91">
        <f>E34</f>
        <v>735778.12255871657</v>
      </c>
      <c r="AA13" s="91">
        <f>G34</f>
        <v>564808.93225461652</v>
      </c>
      <c r="AB13" s="91">
        <f>I34</f>
        <v>1317147.4921783113</v>
      </c>
      <c r="AC13" s="91">
        <f>K34</f>
        <v>748352.34114679671</v>
      </c>
      <c r="AD13" s="91">
        <f>M34</f>
        <v>3196450.050218605</v>
      </c>
    </row>
    <row r="14" spans="2:30">
      <c r="B14" s="103" t="s">
        <v>1</v>
      </c>
      <c r="C14" s="104" t="s">
        <v>120</v>
      </c>
      <c r="D14" s="113"/>
      <c r="E14" s="76">
        <v>12</v>
      </c>
      <c r="F14" s="83"/>
      <c r="G14" s="76">
        <v>12</v>
      </c>
      <c r="H14" s="83"/>
      <c r="I14" s="76">
        <v>12</v>
      </c>
      <c r="J14" s="83"/>
      <c r="K14" s="76">
        <v>12</v>
      </c>
      <c r="L14" s="83"/>
      <c r="M14" s="76">
        <v>12</v>
      </c>
      <c r="N14" s="83"/>
      <c r="P14" s="83"/>
      <c r="R14" s="83"/>
      <c r="T14" s="83"/>
      <c r="V14" s="83"/>
      <c r="Y14" s="76" t="s">
        <v>254</v>
      </c>
      <c r="Z14" s="154">
        <f>E41</f>
        <v>131677.63493620176</v>
      </c>
      <c r="AA14" s="154">
        <f>G41</f>
        <v>131677.63493620176</v>
      </c>
      <c r="AB14" s="154">
        <f>I41</f>
        <v>131677.63493620176</v>
      </c>
      <c r="AC14" s="154">
        <f>K41</f>
        <v>131677.63493620176</v>
      </c>
      <c r="AD14" s="154">
        <f>M41</f>
        <v>251106.1875527568</v>
      </c>
    </row>
    <row r="15" spans="2:30">
      <c r="B15" s="103" t="s">
        <v>1</v>
      </c>
      <c r="C15" s="104" t="s">
        <v>175</v>
      </c>
      <c r="D15" s="105" t="s">
        <v>20</v>
      </c>
      <c r="E15" s="84">
        <v>7800000</v>
      </c>
      <c r="F15" s="78" t="s">
        <v>20</v>
      </c>
      <c r="G15" s="84">
        <v>6420000</v>
      </c>
      <c r="H15" s="78" t="s">
        <v>20</v>
      </c>
      <c r="I15" s="84">
        <v>6400000</v>
      </c>
      <c r="J15" s="78" t="s">
        <v>20</v>
      </c>
      <c r="K15" s="84">
        <v>7000000</v>
      </c>
      <c r="L15" s="78" t="s">
        <v>20</v>
      </c>
      <c r="M15" s="84">
        <v>5300000</v>
      </c>
      <c r="N15" s="78" t="s">
        <v>20</v>
      </c>
      <c r="P15" s="78" t="s">
        <v>20</v>
      </c>
      <c r="R15" s="78" t="s">
        <v>20</v>
      </c>
      <c r="T15" s="78" t="s">
        <v>20</v>
      </c>
      <c r="V15" s="78" t="s">
        <v>20</v>
      </c>
      <c r="Y15" s="76" t="s">
        <v>255</v>
      </c>
      <c r="Z15" s="154">
        <f ca="1">SUM(Z12:Z14)</f>
        <v>14519124.184161587</v>
      </c>
      <c r="AA15" s="154">
        <f t="shared" ref="AA15:AD15" ca="1" si="0">SUM(AA12:AA14)</f>
        <v>10046486.567190818</v>
      </c>
      <c r="AB15" s="154">
        <f t="shared" ca="1" si="0"/>
        <v>9098825.3671145141</v>
      </c>
      <c r="AC15" s="154">
        <f t="shared" ca="1" si="0"/>
        <v>10238363.769416334</v>
      </c>
      <c r="AD15" s="154">
        <f t="shared" ca="1" si="0"/>
        <v>8747556.2377713621</v>
      </c>
    </row>
    <row r="16" spans="2:30">
      <c r="B16" s="114"/>
      <c r="C16" s="115" t="s">
        <v>26</v>
      </c>
      <c r="D16" s="105" t="s">
        <v>21</v>
      </c>
      <c r="E16" s="79"/>
      <c r="F16" s="78" t="s">
        <v>21</v>
      </c>
      <c r="G16" s="85"/>
      <c r="H16" s="78" t="s">
        <v>21</v>
      </c>
      <c r="J16" s="78" t="s">
        <v>21</v>
      </c>
      <c r="K16" s="85"/>
      <c r="L16" s="78" t="s">
        <v>21</v>
      </c>
      <c r="M16" s="85"/>
      <c r="N16" s="78" t="s">
        <v>21</v>
      </c>
      <c r="O16" s="85"/>
      <c r="P16" s="78" t="s">
        <v>21</v>
      </c>
      <c r="Q16" s="85"/>
      <c r="R16" s="78" t="s">
        <v>21</v>
      </c>
      <c r="S16" s="85"/>
      <c r="T16" s="78" t="s">
        <v>21</v>
      </c>
      <c r="U16" s="85"/>
      <c r="V16" s="78" t="s">
        <v>21</v>
      </c>
      <c r="W16" s="85"/>
      <c r="Y16" s="76" t="s">
        <v>258</v>
      </c>
      <c r="Z16" s="205">
        <f ca="1">Z12/$Z$15</f>
        <v>0.94025426420409042</v>
      </c>
      <c r="AA16" s="205">
        <f ca="1">AA12/$AA$15</f>
        <v>0.93067361783318758</v>
      </c>
      <c r="AB16" s="205">
        <f ca="1">AB12/$AB$15</f>
        <v>0.84076789380407946</v>
      </c>
      <c r="AC16" s="205">
        <f ca="1">AC12/$AC$15</f>
        <v>0.91404583819225171</v>
      </c>
      <c r="AD16" s="205">
        <f ca="1">AD12/$AD$15</f>
        <v>0.60588350116744094</v>
      </c>
    </row>
    <row r="17" spans="2:30">
      <c r="B17" s="114"/>
      <c r="C17" s="115" t="s">
        <v>155</v>
      </c>
      <c r="D17" s="105" t="s">
        <v>157</v>
      </c>
      <c r="E17" s="86">
        <v>17901.240000000002</v>
      </c>
      <c r="F17" s="105" t="s">
        <v>157</v>
      </c>
      <c r="G17" s="86">
        <v>12000</v>
      </c>
      <c r="H17" s="105" t="s">
        <v>157</v>
      </c>
      <c r="I17" s="86">
        <v>16666.669999999998</v>
      </c>
      <c r="J17" s="105" t="s">
        <v>157</v>
      </c>
      <c r="K17" s="86">
        <v>8156.03</v>
      </c>
      <c r="L17" s="105" t="s">
        <v>157</v>
      </c>
      <c r="M17" s="86"/>
      <c r="N17" s="105" t="s">
        <v>157</v>
      </c>
      <c r="O17" s="86"/>
      <c r="P17" s="105" t="s">
        <v>157</v>
      </c>
      <c r="Q17" s="86"/>
      <c r="R17" s="105" t="s">
        <v>157</v>
      </c>
      <c r="S17" s="86"/>
      <c r="T17" s="105" t="s">
        <v>157</v>
      </c>
      <c r="U17" s="86"/>
      <c r="V17" s="105" t="s">
        <v>157</v>
      </c>
      <c r="W17" s="86"/>
      <c r="Y17" s="76" t="s">
        <v>259</v>
      </c>
      <c r="Z17" s="205">
        <f t="shared" ref="Z17" ca="1" si="1">Z13/$Z$15</f>
        <v>5.0676481117321912E-2</v>
      </c>
      <c r="AA17" s="205">
        <f t="shared" ref="AA17:AA18" ca="1" si="2">AA13/$AA$15</f>
        <v>5.6219547846620713E-2</v>
      </c>
      <c r="AB17" s="205">
        <f t="shared" ref="AB17:AB18" ca="1" si="3">AB13/$AB$15</f>
        <v>0.14476016837720831</v>
      </c>
      <c r="AC17" s="205">
        <f t="shared" ref="AC17:AC18" ca="1" si="4">AC13/$AC$15</f>
        <v>7.3092962703889014E-2</v>
      </c>
      <c r="AD17" s="205">
        <f ca="1">AD13/$AD$15</f>
        <v>0.3654106316477907</v>
      </c>
    </row>
    <row r="18" spans="2:30">
      <c r="B18" s="114"/>
      <c r="C18" s="115" t="s">
        <v>156</v>
      </c>
      <c r="D18" s="105" t="s">
        <v>158</v>
      </c>
      <c r="E18" s="76">
        <v>324</v>
      </c>
      <c r="F18" s="105" t="s">
        <v>158</v>
      </c>
      <c r="G18" s="76">
        <v>240</v>
      </c>
      <c r="H18" s="105" t="s">
        <v>158</v>
      </c>
      <c r="I18" s="76">
        <v>72</v>
      </c>
      <c r="J18" s="105" t="s">
        <v>158</v>
      </c>
      <c r="K18" s="76">
        <v>282</v>
      </c>
      <c r="L18" s="105" t="s">
        <v>158</v>
      </c>
      <c r="N18" s="105" t="s">
        <v>158</v>
      </c>
      <c r="P18" s="105" t="s">
        <v>158</v>
      </c>
      <c r="R18" s="105" t="s">
        <v>158</v>
      </c>
      <c r="T18" s="105" t="s">
        <v>158</v>
      </c>
      <c r="V18" s="105" t="s">
        <v>158</v>
      </c>
      <c r="Y18" s="76" t="s">
        <v>260</v>
      </c>
      <c r="Z18" s="205">
        <f t="shared" ref="Z18" ca="1" si="5">Z14/$Z$15</f>
        <v>9.0692546785875947E-3</v>
      </c>
      <c r="AA18" s="205">
        <f t="shared" ca="1" si="2"/>
        <v>1.3106834320191725E-2</v>
      </c>
      <c r="AB18" s="205">
        <f t="shared" ca="1" si="3"/>
        <v>1.4471937818712125E-2</v>
      </c>
      <c r="AC18" s="205">
        <f t="shared" ca="1" si="4"/>
        <v>1.2861199103859191E-2</v>
      </c>
      <c r="AD18" s="205">
        <f ca="1">AD14/$AD$15</f>
        <v>2.870586718476837E-2</v>
      </c>
    </row>
    <row r="19" spans="2:30" s="129" customFormat="1">
      <c r="B19" s="114"/>
      <c r="C19" s="115" t="s">
        <v>154</v>
      </c>
      <c r="D19" s="105" t="s">
        <v>25</v>
      </c>
      <c r="E19" s="75">
        <f>IF(E33&gt;0,0,E17*E18)</f>
        <v>5800001.7600000007</v>
      </c>
      <c r="F19" s="105"/>
      <c r="G19" s="75">
        <f>IF(G33&gt;0,0,G17*G18)</f>
        <v>2880000</v>
      </c>
      <c r="H19" s="105"/>
      <c r="I19" s="75">
        <f>IF(I33&gt;0,0,I17*I18)</f>
        <v>1200000.2399999998</v>
      </c>
      <c r="J19" s="105"/>
      <c r="K19" s="75">
        <f>IF(K33&gt;0,0,K17*K18)</f>
        <v>2300000.46</v>
      </c>
      <c r="L19" s="105"/>
      <c r="M19" s="75">
        <f>IF(M33&gt;0,0,M17*M18)</f>
        <v>0</v>
      </c>
      <c r="N19" s="105"/>
      <c r="O19" s="75">
        <f>IF(O33&gt;0,0,O17*O18)</f>
        <v>0</v>
      </c>
      <c r="P19" s="105"/>
      <c r="Q19" s="75">
        <f>IF(Q33&gt;0,0,Q17*Q18)</f>
        <v>0</v>
      </c>
      <c r="R19" s="105"/>
      <c r="S19" s="75">
        <f>IF(S33&gt;0,0,S17*S18)</f>
        <v>0</v>
      </c>
      <c r="T19" s="105"/>
      <c r="U19" s="75">
        <f>IF(U33&gt;0,0,U17*U18)</f>
        <v>0</v>
      </c>
      <c r="V19" s="105"/>
      <c r="W19" s="75">
        <f>IF(W33&gt;0,0,W17*W18)</f>
        <v>0</v>
      </c>
      <c r="X19" s="76"/>
      <c r="Y19" s="76" t="s">
        <v>256</v>
      </c>
      <c r="AA19" s="157"/>
      <c r="AB19" s="157"/>
      <c r="AC19" s="157"/>
    </row>
    <row r="20" spans="2:30">
      <c r="B20" s="103" t="s">
        <v>1</v>
      </c>
      <c r="C20" s="104" t="s">
        <v>150</v>
      </c>
      <c r="D20" s="105" t="s">
        <v>25</v>
      </c>
      <c r="E20" s="84">
        <v>620000</v>
      </c>
      <c r="F20" s="78" t="s">
        <v>25</v>
      </c>
      <c r="G20" s="84">
        <v>600000</v>
      </c>
      <c r="H20" s="78" t="s">
        <v>25</v>
      </c>
      <c r="I20" s="84">
        <v>600000</v>
      </c>
      <c r="J20" s="78" t="s">
        <v>25</v>
      </c>
      <c r="K20" s="84">
        <v>700000</v>
      </c>
      <c r="L20" s="78" t="s">
        <v>25</v>
      </c>
      <c r="M20" s="84"/>
      <c r="N20" s="78" t="s">
        <v>25</v>
      </c>
      <c r="O20" s="84"/>
      <c r="P20" s="78" t="s">
        <v>25</v>
      </c>
      <c r="Q20" s="84"/>
      <c r="R20" s="78" t="s">
        <v>25</v>
      </c>
      <c r="S20" s="84"/>
      <c r="T20" s="78" t="s">
        <v>25</v>
      </c>
      <c r="U20" s="84"/>
      <c r="V20" s="78" t="s">
        <v>25</v>
      </c>
      <c r="W20" s="84"/>
      <c r="Y20" s="76" t="s">
        <v>257</v>
      </c>
      <c r="Z20" s="154">
        <f>E15</f>
        <v>7800000</v>
      </c>
      <c r="AA20" s="154">
        <f>G15</f>
        <v>6420000</v>
      </c>
      <c r="AB20" s="154">
        <f>I15</f>
        <v>6400000</v>
      </c>
      <c r="AC20" s="154">
        <f>K15</f>
        <v>7000000</v>
      </c>
      <c r="AD20" s="154">
        <f>M15</f>
        <v>5300000</v>
      </c>
    </row>
    <row r="21" spans="2:30">
      <c r="B21" s="114"/>
      <c r="C21" s="104" t="s">
        <v>151</v>
      </c>
      <c r="D21" s="105" t="s">
        <v>25</v>
      </c>
      <c r="E21" s="84"/>
      <c r="F21" s="78" t="s">
        <v>25</v>
      </c>
      <c r="G21" s="84"/>
      <c r="H21" s="78" t="s">
        <v>25</v>
      </c>
      <c r="I21" s="84"/>
      <c r="J21" s="78" t="s">
        <v>25</v>
      </c>
      <c r="K21" s="84"/>
      <c r="L21" s="78" t="s">
        <v>25</v>
      </c>
      <c r="M21" s="84"/>
      <c r="N21" s="78" t="s">
        <v>25</v>
      </c>
      <c r="O21" s="84"/>
      <c r="P21" s="78" t="s">
        <v>25</v>
      </c>
      <c r="Q21" s="84"/>
      <c r="R21" s="78" t="s">
        <v>25</v>
      </c>
      <c r="S21" s="84"/>
      <c r="T21" s="78" t="s">
        <v>25</v>
      </c>
      <c r="U21" s="84"/>
      <c r="V21" s="78" t="s">
        <v>25</v>
      </c>
      <c r="W21" s="84"/>
      <c r="Y21" s="76" t="s">
        <v>85</v>
      </c>
      <c r="Z21" s="154">
        <f>E19</f>
        <v>5800001.7600000007</v>
      </c>
      <c r="AA21" s="154">
        <f>G19</f>
        <v>2880000</v>
      </c>
      <c r="AB21" s="154">
        <f>I19</f>
        <v>1200000.2399999998</v>
      </c>
      <c r="AC21" s="154">
        <f>K19</f>
        <v>2300000.46</v>
      </c>
    </row>
    <row r="22" spans="2:30">
      <c r="B22" s="114"/>
      <c r="C22" s="104" t="s">
        <v>152</v>
      </c>
      <c r="D22" s="105" t="s">
        <v>24</v>
      </c>
      <c r="E22" s="86"/>
      <c r="F22" s="78" t="s">
        <v>24</v>
      </c>
      <c r="H22" s="78" t="s">
        <v>24</v>
      </c>
      <c r="J22" s="78" t="s">
        <v>24</v>
      </c>
      <c r="L22" s="78" t="s">
        <v>24</v>
      </c>
      <c r="N22" s="78" t="s">
        <v>24</v>
      </c>
      <c r="P22" s="78" t="s">
        <v>24</v>
      </c>
      <c r="R22" s="78" t="s">
        <v>24</v>
      </c>
      <c r="T22" s="78" t="s">
        <v>24</v>
      </c>
      <c r="V22" s="78" t="s">
        <v>24</v>
      </c>
      <c r="Y22" s="76" t="s">
        <v>263</v>
      </c>
      <c r="Z22" s="154">
        <f>E20</f>
        <v>620000</v>
      </c>
      <c r="AA22" s="154">
        <f>G20</f>
        <v>600000</v>
      </c>
      <c r="AB22" s="154">
        <f>I20</f>
        <v>600000</v>
      </c>
      <c r="AC22" s="154">
        <f>K20</f>
        <v>700000</v>
      </c>
    </row>
    <row r="23" spans="2:30">
      <c r="B23" s="114"/>
      <c r="C23" s="104" t="s">
        <v>153</v>
      </c>
      <c r="D23" s="105" t="s">
        <v>24</v>
      </c>
      <c r="E23" s="86"/>
      <c r="F23" s="78" t="s">
        <v>24</v>
      </c>
      <c r="H23" s="78" t="s">
        <v>24</v>
      </c>
      <c r="J23" s="78" t="s">
        <v>24</v>
      </c>
      <c r="L23" s="78" t="s">
        <v>24</v>
      </c>
      <c r="N23" s="78" t="s">
        <v>24</v>
      </c>
      <c r="P23" s="78" t="s">
        <v>24</v>
      </c>
      <c r="R23" s="78" t="s">
        <v>24</v>
      </c>
      <c r="T23" s="78" t="s">
        <v>24</v>
      </c>
      <c r="V23" s="78" t="s">
        <v>24</v>
      </c>
      <c r="Y23" s="76" t="s">
        <v>261</v>
      </c>
      <c r="Z23" s="205">
        <f t="shared" ref="Z23:AD24" ca="1" si="6">Z20/Z$15</f>
        <v>0.53722248677428852</v>
      </c>
      <c r="AA23" s="205">
        <f t="shared" ca="1" si="6"/>
        <v>0.63902937181701225</v>
      </c>
      <c r="AB23" s="205">
        <f t="shared" ca="1" si="6"/>
        <v>0.70338749693243252</v>
      </c>
      <c r="AC23" s="205">
        <f t="shared" ca="1" si="6"/>
        <v>0.68370299763231157</v>
      </c>
      <c r="AD23" s="205">
        <f t="shared" ca="1" si="6"/>
        <v>0.60588350116744094</v>
      </c>
    </row>
    <row r="24" spans="2:30" s="129" customFormat="1">
      <c r="B24" s="116"/>
      <c r="C24" s="117" t="str">
        <f>B11</f>
        <v>資產採購成本</v>
      </c>
      <c r="D24" s="118"/>
      <c r="E24" s="98">
        <f ca="1">IF(CELL("contents",E14)&gt;0,-PV($E$7*0.01,$E$6,E16+E22/E14+E23/E14,,1)+E15+E19+E20/E14+E21/E14,0)</f>
        <v>13651668.426666668</v>
      </c>
      <c r="F24" s="118"/>
      <c r="G24" s="98">
        <f ca="1">IF(CELL("contents",G14)&gt;0,-PV($E$7*0.01,$E$6,G16+G22/G14+G23/G14,,1)+G15+G19+G20/G14+G21/G14,0)</f>
        <v>9350000</v>
      </c>
      <c r="H24" s="118"/>
      <c r="I24" s="98">
        <f ca="1">IF(CELL("contents",I14)&gt;0,-PV($E$7*0.01,$E$6,I16+I22/I14+I23/I14,,1)+I15+I19+I20/I14+I21/I14,0)</f>
        <v>7650000.2400000002</v>
      </c>
      <c r="J24" s="118"/>
      <c r="K24" s="98">
        <f ca="1">IF(CELL("contents",K14)&gt;0,-PV($E$7*0.01,$E$6,K16+K22/K14+K23/K14,,1)+K15+K19+K20/K14+K21/K14,0)</f>
        <v>9358333.7933333348</v>
      </c>
      <c r="L24" s="118"/>
      <c r="M24" s="98">
        <f ca="1">IF(CELL("contents",M14)&gt;0,-PV($E$7*0.01,$E$6,M16+M22/M14+M23/M14,,1)+M15+M19+M20/M14+M21/M14,0)</f>
        <v>5300000</v>
      </c>
      <c r="N24" s="118"/>
      <c r="O24" s="98">
        <f ca="1">IF(CELL("contents",O14)&gt;0,-PV($E$7*0.01,$E$6,O16+O22/O14+O23/O14,,1)+O15+O19+O20/O14+O21/O14,0)</f>
        <v>0</v>
      </c>
      <c r="P24" s="118"/>
      <c r="Q24" s="98">
        <f ca="1">IF(CELL("contents",Q14)&gt;0,-PV($E$7*0.01,$E$6,Q16+Q22/Q14+Q23/Q14,,1)+Q15+Q19+Q20/Q14+Q21/Q14,0)</f>
        <v>0</v>
      </c>
      <c r="R24" s="118"/>
      <c r="S24" s="98">
        <f ca="1">IF(CELL("contents",S14)&gt;0,-PV($E$7*0.01,$E$6,S16+S22/S14+S23/S14,,1)+S15+S19+S20/S14+S21/S14,0)</f>
        <v>0</v>
      </c>
      <c r="T24" s="118"/>
      <c r="U24" s="98">
        <f ca="1">IF(CELL("contents",U14)&gt;0,-PV($E$7*0.01,$E$6,U16+U22/U14+U23/U14,,1)+U15+U19+U20/U14+U21/U14,0)</f>
        <v>0</v>
      </c>
      <c r="V24" s="118"/>
      <c r="W24" s="98">
        <f ca="1">IF(CELL("contents",W14)&gt;0,-PV($E$7*0.01,$E$6,W16+W22/W14+W23/W14,,1)+W15+W19+W20/W14+W21/W14,0)</f>
        <v>0</v>
      </c>
      <c r="X24" s="76"/>
      <c r="Y24" s="76" t="s">
        <v>262</v>
      </c>
      <c r="Z24" s="205">
        <f t="shared" ca="1" si="6"/>
        <v>0.39947325241057052</v>
      </c>
      <c r="AA24" s="205">
        <f t="shared" ca="1" si="6"/>
        <v>0.2866673817496877</v>
      </c>
      <c r="AB24" s="205">
        <f t="shared" ca="1" si="6"/>
        <v>0.13188518205186223</v>
      </c>
      <c r="AC24" s="205">
        <f t="shared" ca="1" si="6"/>
        <v>0.22464531557967077</v>
      </c>
      <c r="AD24" s="205">
        <f t="shared" ca="1" si="6"/>
        <v>0</v>
      </c>
    </row>
    <row r="25" spans="2:30">
      <c r="B25" s="107"/>
      <c r="C25" s="108"/>
      <c r="D25" s="109"/>
      <c r="Y25" s="159" t="s">
        <v>264</v>
      </c>
      <c r="Z25" s="205">
        <f ca="1">Z22/Z$15</f>
        <v>4.2702300230776778E-2</v>
      </c>
      <c r="AA25" s="205">
        <f ca="1">AA22/AA$15</f>
        <v>5.9722371197851606E-2</v>
      </c>
      <c r="AB25" s="205">
        <f ca="1">AB22/AB$15</f>
        <v>6.5942577837415556E-2</v>
      </c>
      <c r="AC25" s="205">
        <f ca="1">AC22/AC$15</f>
        <v>6.8370299763231154E-2</v>
      </c>
      <c r="AD25" s="129"/>
    </row>
    <row r="26" spans="2:30">
      <c r="B26" s="100" t="s">
        <v>107</v>
      </c>
      <c r="C26" s="100"/>
      <c r="D26" s="102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Y26" s="158" t="s">
        <v>265</v>
      </c>
      <c r="Z26" s="205">
        <f ca="1">Z17+Z18</f>
        <v>5.9745735795909506E-2</v>
      </c>
      <c r="AA26" s="205">
        <f ca="1">AA17+AA18</f>
        <v>6.9326382166812445E-2</v>
      </c>
      <c r="AB26" s="205">
        <f ca="1">AB17+AB18</f>
        <v>0.15923210619592043</v>
      </c>
      <c r="AC26" s="205">
        <f ca="1">AC17+AC18</f>
        <v>8.5954161807748203E-2</v>
      </c>
      <c r="AD26" s="205">
        <f ca="1">AD17+AD18</f>
        <v>0.39411649883255906</v>
      </c>
    </row>
    <row r="27" spans="2:30">
      <c r="B27" s="119" t="s">
        <v>1</v>
      </c>
      <c r="C27" s="120" t="s">
        <v>9</v>
      </c>
      <c r="D27" s="121" t="s">
        <v>10</v>
      </c>
      <c r="E27" s="87">
        <v>41667</v>
      </c>
      <c r="F27" s="88" t="s">
        <v>10</v>
      </c>
      <c r="G27" s="87">
        <v>41667</v>
      </c>
      <c r="H27" s="88" t="s">
        <v>10</v>
      </c>
      <c r="I27" s="87">
        <v>41667</v>
      </c>
      <c r="J27" s="88" t="s">
        <v>10</v>
      </c>
      <c r="K27" s="87">
        <v>41667</v>
      </c>
      <c r="L27" s="88" t="s">
        <v>10</v>
      </c>
      <c r="M27" s="87">
        <v>41667</v>
      </c>
      <c r="N27" s="88" t="s">
        <v>10</v>
      </c>
      <c r="O27" s="87"/>
      <c r="P27" s="88" t="s">
        <v>10</v>
      </c>
      <c r="Q27" s="87"/>
      <c r="R27" s="88" t="s">
        <v>10</v>
      </c>
      <c r="S27" s="87"/>
      <c r="T27" s="88" t="s">
        <v>10</v>
      </c>
      <c r="U27" s="87"/>
      <c r="V27" s="88" t="s">
        <v>10</v>
      </c>
      <c r="W27" s="87"/>
      <c r="Y27" s="158"/>
      <c r="Z27" s="158"/>
      <c r="AA27" s="158"/>
      <c r="AB27" s="158"/>
      <c r="AC27" s="158"/>
    </row>
    <row r="28" spans="2:30">
      <c r="B28" s="119" t="s">
        <v>1</v>
      </c>
      <c r="C28" s="122" t="s">
        <v>11</v>
      </c>
      <c r="D28" s="123"/>
      <c r="E28" s="90" t="s">
        <v>53</v>
      </c>
      <c r="F28" s="89"/>
      <c r="G28" s="90" t="s">
        <v>53</v>
      </c>
      <c r="H28" s="89"/>
      <c r="I28" s="90" t="s">
        <v>53</v>
      </c>
      <c r="J28" s="89"/>
      <c r="K28" s="90" t="s">
        <v>53</v>
      </c>
      <c r="L28" s="89"/>
      <c r="M28" s="90" t="s">
        <v>49</v>
      </c>
      <c r="N28" s="89"/>
      <c r="O28" s="90" t="s">
        <v>53</v>
      </c>
      <c r="P28" s="89"/>
      <c r="Q28" s="90" t="s">
        <v>53</v>
      </c>
      <c r="R28" s="89"/>
      <c r="S28" s="90" t="s">
        <v>53</v>
      </c>
      <c r="T28" s="89"/>
      <c r="U28" s="90" t="s">
        <v>53</v>
      </c>
      <c r="V28" s="89"/>
      <c r="W28" s="90" t="s">
        <v>53</v>
      </c>
      <c r="AA28" s="164"/>
      <c r="AC28" s="164"/>
    </row>
    <row r="29" spans="2:30" s="129" customFormat="1">
      <c r="B29" s="119" t="s">
        <v>1</v>
      </c>
      <c r="C29" s="120" t="s">
        <v>12</v>
      </c>
      <c r="D29" s="121" t="str">
        <f ca="1">IF(CELL("contents",E$28)&gt;0,INDEX('計算過程(勿更動)'!$E$12:$E$14,'計算過程(勿更動)'!D$4),"")</f>
        <v>kWh/100km</v>
      </c>
      <c r="E29" s="129">
        <v>120.5</v>
      </c>
      <c r="F29" s="121" t="str">
        <f ca="1">IF(CELL("contents",G$28)&gt;0,INDEX('計算過程(勿更動)'!$E$12:$E$14,'計算過程(勿更動)'!E$4),"")</f>
        <v>kWh/100km</v>
      </c>
      <c r="G29" s="129">
        <v>92.5</v>
      </c>
      <c r="H29" s="121" t="str">
        <f ca="1">IF(CELL("contents",I$28)&gt;0,INDEX('計算過程(勿更動)'!$E$12:$E$14,'計算過程(勿更動)'!F$4),"")</f>
        <v>kWh/100km</v>
      </c>
      <c r="I29" s="129">
        <v>69.400000000000006</v>
      </c>
      <c r="J29" s="121" t="str">
        <f ca="1">IF(CELL("contents",V$29)&gt;0,INDEX('計算過程(勿更動)'!$E$12:$E$14,'計算過程(勿更動)'!G$4),"")</f>
        <v>kWh/100km</v>
      </c>
      <c r="K29" s="129">
        <v>97.6</v>
      </c>
      <c r="L29" s="121" t="str">
        <f ca="1">IF(CELL("contents",M$28)&gt;0,INDEX('計算過程(勿更動)'!$E$12:$E$14,'計算過程(勿更動)'!H$4),"")</f>
        <v>l/100km</v>
      </c>
      <c r="M29" s="129">
        <v>40</v>
      </c>
      <c r="N29" s="121" t="str">
        <f ca="1">IF(CELL("contents",O$28)&gt;0,INDEX('計算過程(勿更動)'!$E$12:$E$14,'計算過程(勿更動)'!I$4),"")</f>
        <v>kWh/100km</v>
      </c>
      <c r="P29" s="121" t="str">
        <f ca="1">IF(CELL("contents",Q$28)&gt;0,INDEX('計算過程(勿更動)'!$E$12:$E$14,'計算過程(勿更動)'!J$4),"")</f>
        <v>kWh/100km</v>
      </c>
      <c r="R29" s="121" t="str">
        <f ca="1">IF(CELL("contents",S$28)&gt;0,INDEX('計算過程(勿更動)'!$E$12:$E$14,'計算過程(勿更動)'!K$4),"")</f>
        <v>kWh/100km</v>
      </c>
      <c r="T29" s="121" t="str">
        <f ca="1">IF(CELL("contents",U$28)&gt;0,INDEX('計算過程(勿更動)'!$E$12:$E$14,'計算過程(勿更動)'!L$4),"")</f>
        <v>kWh/100km</v>
      </c>
      <c r="V29" s="121" t="str">
        <f ca="1">IF(CELL("contents",W$28)&gt;0,INDEX('計算過程(勿更動)'!$E$12:$E$14,'計算過程(勿更動)'!M$4),"")</f>
        <v>kWh/100km</v>
      </c>
      <c r="Z29" s="163">
        <v>5721568</v>
      </c>
      <c r="AA29" s="129">
        <v>3338000</v>
      </c>
      <c r="AB29" s="163">
        <f>Z29-AA29</f>
        <v>2383568</v>
      </c>
    </row>
    <row r="30" spans="2:30" s="129" customFormat="1">
      <c r="B30" s="124"/>
      <c r="C30" s="120" t="s">
        <v>13</v>
      </c>
      <c r="D30" s="121" t="str">
        <f ca="1">IF(CELL("contents",E$28)&gt;0,INDEX('計算過程(勿更動)'!$F$12:$F$14,'計算過程(勿更動)'!D$4),"")</f>
        <v>$/kWh</v>
      </c>
      <c r="E30" s="142">
        <v>2.02</v>
      </c>
      <c r="F30" s="121" t="str">
        <f ca="1">IF(CELL("contents",G$28)&gt;0,INDEX('計算過程(勿更動)'!$F$12:$F$14,'計算過程(勿更動)'!E$4),"")</f>
        <v>$/kWh</v>
      </c>
      <c r="G30" s="161">
        <v>2.02</v>
      </c>
      <c r="H30" s="121" t="str">
        <f ca="1">IF(CELL("contents",I$28)&gt;0,INDEX('計算過程(勿更動)'!$F$12:$F$14,'計算過程(勿更動)'!F$4),"")</f>
        <v>$/kWh</v>
      </c>
      <c r="I30" s="129">
        <v>5</v>
      </c>
      <c r="J30" s="121" t="str">
        <f ca="1">IF(CELL("contents",V$29)&gt;0,INDEX('計算過程(勿更動)'!$F$12:$F$14,'計算過程(勿更動)'!G$4),"")</f>
        <v>$/kWh</v>
      </c>
      <c r="K30" s="129">
        <v>2.02</v>
      </c>
      <c r="L30" s="121" t="str">
        <f ca="1">IF(CELL("contents",M$28)&gt;0,INDEX('計算過程(勿更動)'!$F$12:$F$14,'計算過程(勿更動)'!H$4),"")</f>
        <v>$/l</v>
      </c>
      <c r="M30" s="129">
        <v>24.2</v>
      </c>
      <c r="N30" s="121" t="str">
        <f ca="1">IF(CELL("contents",O$28)&gt;0,INDEX('計算過程(勿更動)'!$F$12:$F$14,'計算過程(勿更動)'!I$4),"")</f>
        <v>$/kWh</v>
      </c>
      <c r="P30" s="121" t="str">
        <f ca="1">IF(CELL("contents",Q$28)&gt;0,INDEX('計算過程(勿更動)'!$F$12:$F$14,'計算過程(勿更動)'!J$4),"")</f>
        <v>$/kWh</v>
      </c>
      <c r="R30" s="121" t="str">
        <f ca="1">IF(CELL("contents",S$28)&gt;0,INDEX('計算過程(勿更動)'!$F$12:$F$14,'計算過程(勿更動)'!K$4),"")</f>
        <v>$/kWh</v>
      </c>
      <c r="T30" s="121" t="str">
        <f ca="1">IF(CELL("contents",U$28)&gt;0,INDEX('計算過程(勿更動)'!$F$12:$F$14,'計算過程(勿更動)'!L$4),"")</f>
        <v>$/kWh</v>
      </c>
      <c r="V30" s="121" t="str">
        <f ca="1">IF(CELL("contents",W$28)&gt;0,INDEX('計算過程(勿更動)'!$F$12:$F$14,'計算過程(勿更動)'!M$4),"")</f>
        <v>$/kWh</v>
      </c>
      <c r="Z30" s="163">
        <v>1248930</v>
      </c>
      <c r="AA30" s="129">
        <v>3338000</v>
      </c>
      <c r="AB30" s="163">
        <f t="shared" ref="AB30:AB32" si="7">Z30-AA30</f>
        <v>-2089070</v>
      </c>
    </row>
    <row r="31" spans="2:30">
      <c r="B31" s="125"/>
      <c r="C31" s="120" t="s">
        <v>161</v>
      </c>
      <c r="D31" s="105" t="s">
        <v>22</v>
      </c>
      <c r="E31" s="84">
        <f>E19</f>
        <v>5800001.7600000007</v>
      </c>
      <c r="F31" s="78" t="s">
        <v>22</v>
      </c>
      <c r="G31" s="87">
        <f>G19</f>
        <v>2880000</v>
      </c>
      <c r="H31" s="78" t="s">
        <v>22</v>
      </c>
      <c r="I31" s="84">
        <f>I19</f>
        <v>1200000.2399999998</v>
      </c>
      <c r="J31" s="78" t="s">
        <v>22</v>
      </c>
      <c r="K31" s="87">
        <f>K19</f>
        <v>2300000.46</v>
      </c>
      <c r="L31" s="78" t="s">
        <v>22</v>
      </c>
      <c r="M31" s="87"/>
      <c r="N31" s="78" t="s">
        <v>22</v>
      </c>
      <c r="O31" s="87"/>
      <c r="P31" s="78" t="s">
        <v>22</v>
      </c>
      <c r="Q31" s="87"/>
      <c r="R31" s="78" t="s">
        <v>22</v>
      </c>
      <c r="S31" s="87"/>
      <c r="T31" s="78" t="s">
        <v>22</v>
      </c>
      <c r="U31" s="87"/>
      <c r="V31" s="78" t="s">
        <v>22</v>
      </c>
      <c r="W31" s="87"/>
      <c r="Z31" s="162">
        <v>301269</v>
      </c>
      <c r="AA31" s="129">
        <v>3338000</v>
      </c>
      <c r="AB31" s="163">
        <f t="shared" si="7"/>
        <v>-3036731</v>
      </c>
    </row>
    <row r="32" spans="2:30">
      <c r="B32" s="125"/>
      <c r="C32" s="120" t="s">
        <v>94</v>
      </c>
      <c r="D32" s="121" t="s">
        <v>5</v>
      </c>
      <c r="E32" s="76">
        <v>8</v>
      </c>
      <c r="F32" s="88" t="s">
        <v>5</v>
      </c>
      <c r="G32" s="76">
        <v>8</v>
      </c>
      <c r="H32" s="88" t="s">
        <v>5</v>
      </c>
      <c r="I32" s="76">
        <v>8</v>
      </c>
      <c r="J32" s="88" t="s">
        <v>5</v>
      </c>
      <c r="K32" s="76">
        <v>8</v>
      </c>
      <c r="L32" s="88" t="s">
        <v>5</v>
      </c>
      <c r="N32" s="88" t="s">
        <v>5</v>
      </c>
      <c r="P32" s="88" t="s">
        <v>5</v>
      </c>
      <c r="R32" s="88" t="s">
        <v>5</v>
      </c>
      <c r="T32" s="88" t="s">
        <v>5</v>
      </c>
      <c r="V32" s="88" t="s">
        <v>5</v>
      </c>
      <c r="Z32" s="162">
        <v>1440808</v>
      </c>
      <c r="AA32" s="129">
        <v>3338000</v>
      </c>
      <c r="AB32" s="163">
        <f t="shared" si="7"/>
        <v>-1897192</v>
      </c>
    </row>
    <row r="33" spans="2:23">
      <c r="B33" s="126"/>
      <c r="C33" s="127" t="s">
        <v>27</v>
      </c>
      <c r="D33" s="105" t="s">
        <v>23</v>
      </c>
      <c r="E33" s="86"/>
      <c r="F33" s="78" t="s">
        <v>23</v>
      </c>
      <c r="G33" s="86"/>
      <c r="H33" s="78" t="s">
        <v>23</v>
      </c>
      <c r="I33" s="86"/>
      <c r="J33" s="78" t="s">
        <v>23</v>
      </c>
      <c r="K33" s="86"/>
      <c r="L33" s="78" t="s">
        <v>23</v>
      </c>
      <c r="M33" s="86"/>
      <c r="N33" s="78" t="s">
        <v>23</v>
      </c>
      <c r="O33" s="86"/>
      <c r="P33" s="78" t="s">
        <v>23</v>
      </c>
      <c r="Q33" s="86"/>
      <c r="R33" s="78" t="s">
        <v>23</v>
      </c>
      <c r="S33" s="86"/>
      <c r="T33" s="78" t="s">
        <v>23</v>
      </c>
      <c r="U33" s="86"/>
      <c r="V33" s="78" t="s">
        <v>23</v>
      </c>
      <c r="W33" s="86"/>
    </row>
    <row r="34" spans="2:23" s="129" customFormat="1">
      <c r="B34" s="116"/>
      <c r="C34" s="117" t="str">
        <f>B26</f>
        <v>運行成本</v>
      </c>
      <c r="D34" s="118"/>
      <c r="E34" s="99">
        <f>-PV($E$7*0.01,$E$6,E33)+'計算過程(勿更動)'!D8</f>
        <v>735778.12255871657</v>
      </c>
      <c r="F34" s="118"/>
      <c r="G34" s="99">
        <f>-PV($E$7*0.01,$E$6,G33)+'計算過程(勿更動)'!E8</f>
        <v>564808.93225461652</v>
      </c>
      <c r="H34" s="118"/>
      <c r="I34" s="99">
        <f>-PV($E$7*0.01,$E$6,I33)+'計算過程(勿更動)'!F8</f>
        <v>1317147.4921783113</v>
      </c>
      <c r="J34" s="118"/>
      <c r="K34" s="99">
        <f>-PV($E$7*0.01,$E$6,K33)+'計算過程(勿更動)'!G8</f>
        <v>748352.34114679671</v>
      </c>
      <c r="L34" s="118"/>
      <c r="M34" s="99">
        <f>-PV($E$7*0.01,$E$6,M33)+'計算過程(勿更動)'!H8</f>
        <v>3196450.050218605</v>
      </c>
      <c r="N34" s="118"/>
      <c r="O34" s="99">
        <f>-PV($E$7*0.01,$E$6,O33)+'計算過程(勿更動)'!I8</f>
        <v>0</v>
      </c>
      <c r="P34" s="118"/>
      <c r="Q34" s="139">
        <f>-PV($E$7*0.01,$E$6,Q33)+'計算過程(勿更動)'!J8</f>
        <v>0</v>
      </c>
      <c r="R34" s="118"/>
      <c r="S34" s="139">
        <f>-PV($E$7*0.01,$E$6,S33)+'計算過程(勿更動)'!K8</f>
        <v>0</v>
      </c>
      <c r="T34" s="118"/>
      <c r="U34" s="139">
        <f>-PV($E$7*0.01,$E$6,U33)+'計算過程(勿更動)'!L8</f>
        <v>0</v>
      </c>
      <c r="V34" s="118"/>
      <c r="W34" s="139">
        <f>-PV($E$7*0.01,$E$6,W33)+'計算過程(勿更動)'!M8</f>
        <v>0</v>
      </c>
    </row>
    <row r="35" spans="2:23">
      <c r="B35" s="107"/>
      <c r="C35" s="108"/>
      <c r="D35" s="109"/>
    </row>
    <row r="36" spans="2:23">
      <c r="B36" s="100" t="s">
        <v>108</v>
      </c>
      <c r="C36" s="101"/>
      <c r="D36" s="102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</row>
    <row r="37" spans="2:23">
      <c r="B37" s="103"/>
      <c r="C37" s="104" t="s">
        <v>193</v>
      </c>
      <c r="D37" s="105" t="s">
        <v>192</v>
      </c>
      <c r="E37" s="76">
        <v>0.43</v>
      </c>
      <c r="F37" s="105" t="s">
        <v>192</v>
      </c>
      <c r="G37" s="76">
        <v>0.43</v>
      </c>
      <c r="H37" s="105" t="s">
        <v>192</v>
      </c>
      <c r="I37" s="76">
        <v>0.43</v>
      </c>
      <c r="J37" s="105" t="s">
        <v>192</v>
      </c>
      <c r="K37" s="76">
        <v>0.43</v>
      </c>
      <c r="L37" s="105" t="s">
        <v>192</v>
      </c>
      <c r="M37" s="76">
        <v>0.82</v>
      </c>
      <c r="N37" s="105" t="s">
        <v>192</v>
      </c>
      <c r="P37" s="105" t="s">
        <v>192</v>
      </c>
      <c r="R37" s="105" t="s">
        <v>192</v>
      </c>
      <c r="T37" s="105" t="s">
        <v>192</v>
      </c>
      <c r="V37" s="105" t="s">
        <v>192</v>
      </c>
    </row>
    <row r="38" spans="2:23">
      <c r="B38" s="103"/>
      <c r="C38" s="104" t="s">
        <v>195</v>
      </c>
      <c r="D38" s="105"/>
      <c r="E38" s="90" t="s">
        <v>194</v>
      </c>
      <c r="F38" s="105"/>
      <c r="G38" s="90" t="s">
        <v>194</v>
      </c>
      <c r="H38" s="105"/>
      <c r="I38" s="90" t="s">
        <v>194</v>
      </c>
      <c r="J38" s="105"/>
      <c r="K38" s="90" t="s">
        <v>194</v>
      </c>
      <c r="L38" s="105"/>
      <c r="M38" s="90" t="s">
        <v>194</v>
      </c>
      <c r="N38" s="105"/>
      <c r="O38" s="90" t="s">
        <v>194</v>
      </c>
      <c r="P38" s="105"/>
      <c r="Q38" s="90" t="s">
        <v>194</v>
      </c>
      <c r="R38" s="105"/>
      <c r="S38" s="90" t="s">
        <v>194</v>
      </c>
      <c r="T38" s="105"/>
      <c r="U38" s="90" t="s">
        <v>194</v>
      </c>
      <c r="V38" s="105"/>
      <c r="W38" s="90" t="s">
        <v>194</v>
      </c>
    </row>
    <row r="39" spans="2:23">
      <c r="B39" s="103" t="s">
        <v>1</v>
      </c>
      <c r="C39" s="104" t="s">
        <v>14</v>
      </c>
      <c r="D39" s="105" t="s">
        <v>23</v>
      </c>
      <c r="E39" s="170">
        <f>IF(E38='計算過程(勿更動)'!$B$56,E27*E37,0)</f>
        <v>0</v>
      </c>
      <c r="F39" s="105" t="s">
        <v>23</v>
      </c>
      <c r="G39" s="170">
        <f>IF(G38='計算過程(勿更動)'!$B$56,G27*G37,0)</f>
        <v>0</v>
      </c>
      <c r="H39" s="105" t="s">
        <v>23</v>
      </c>
      <c r="I39" s="170">
        <f>IF(I38='計算過程(勿更動)'!$B$56,I27*I37,0)</f>
        <v>0</v>
      </c>
      <c r="J39" s="105" t="s">
        <v>23</v>
      </c>
      <c r="K39" s="170">
        <f>IF(K38='計算過程(勿更動)'!$B$56,K27*K37,0)</f>
        <v>0</v>
      </c>
      <c r="L39" s="105" t="s">
        <v>23</v>
      </c>
      <c r="M39" s="170">
        <f>IF(M38='計算過程(勿更動)'!$B$56,M27*M37,0)</f>
        <v>0</v>
      </c>
      <c r="N39" s="105" t="s">
        <v>23</v>
      </c>
      <c r="O39" s="170">
        <f>IF(O38='計算過程(勿更動)'!$B$56,O27*O37,0)</f>
        <v>0</v>
      </c>
      <c r="P39" s="105" t="s">
        <v>23</v>
      </c>
      <c r="Q39" s="170">
        <f>IF(Q38='計算過程(勿更動)'!$B$56,Q27*Q37,0)</f>
        <v>0</v>
      </c>
      <c r="R39" s="105" t="s">
        <v>23</v>
      </c>
      <c r="S39" s="170">
        <f>IF(S38='計算過程(勿更動)'!$B$56,S27*S37,0)</f>
        <v>0</v>
      </c>
      <c r="T39" s="105" t="s">
        <v>23</v>
      </c>
      <c r="U39" s="170">
        <f>IF(U38='計算過程(勿更動)'!$B$56,U27*U37,0)</f>
        <v>0</v>
      </c>
      <c r="V39" s="105" t="s">
        <v>23</v>
      </c>
      <c r="W39" s="170">
        <f>IF(W38='計算過程(勿更動)'!$B$56,W27*W37,0)</f>
        <v>0</v>
      </c>
    </row>
    <row r="40" spans="2:23">
      <c r="B40" s="103" t="s">
        <v>1</v>
      </c>
      <c r="C40" s="104" t="s">
        <v>15</v>
      </c>
      <c r="D40" s="105" t="s">
        <v>23</v>
      </c>
      <c r="E40" s="170">
        <f>IF(E38='計算過程(勿更動)'!$B$55,E27*E37,0)</f>
        <v>17916.810000000001</v>
      </c>
      <c r="F40" s="105" t="s">
        <v>23</v>
      </c>
      <c r="G40" s="170">
        <f>IF(G38='計算過程(勿更動)'!$B$55,G27*G37,0)</f>
        <v>17916.810000000001</v>
      </c>
      <c r="H40" s="105" t="s">
        <v>23</v>
      </c>
      <c r="I40" s="170">
        <f>IF(I38='計算過程(勿更動)'!$B$55,I27*I37,0)</f>
        <v>17916.810000000001</v>
      </c>
      <c r="J40" s="105" t="s">
        <v>23</v>
      </c>
      <c r="K40" s="170">
        <f>IF(K38='計算過程(勿更動)'!$B$55,K27*K37,0)</f>
        <v>17916.810000000001</v>
      </c>
      <c r="L40" s="105" t="s">
        <v>23</v>
      </c>
      <c r="M40" s="170">
        <f>IF(M38='計算過程(勿更動)'!$B$55,M27*M37,0)</f>
        <v>34166.939999999995</v>
      </c>
      <c r="N40" s="105" t="s">
        <v>23</v>
      </c>
      <c r="O40" s="170">
        <f>IF(O38='計算過程(勿更動)'!$B$55,O27*O37,0)</f>
        <v>0</v>
      </c>
      <c r="P40" s="105" t="s">
        <v>23</v>
      </c>
      <c r="Q40" s="170">
        <f>IF(Q38='計算過程(勿更動)'!$B$55,Q27*Q37,0)</f>
        <v>0</v>
      </c>
      <c r="R40" s="105" t="s">
        <v>23</v>
      </c>
      <c r="S40" s="170">
        <f>IF(S38='計算過程(勿更動)'!$B$55,S27*S37,0)</f>
        <v>0</v>
      </c>
      <c r="T40" s="105" t="s">
        <v>23</v>
      </c>
      <c r="U40" s="170">
        <f>IF(U38='計算過程(勿更動)'!$B$55,U27*U37,0)</f>
        <v>0</v>
      </c>
      <c r="V40" s="105" t="s">
        <v>23</v>
      </c>
      <c r="W40" s="170">
        <f>IF(W38='計算過程(勿更動)'!$B$55,W27*W37,0)</f>
        <v>0</v>
      </c>
    </row>
    <row r="41" spans="2:23" s="129" customFormat="1">
      <c r="B41" s="116"/>
      <c r="C41" s="117" t="str">
        <f>B36</f>
        <v>保養服務成本</v>
      </c>
      <c r="D41" s="118"/>
      <c r="E41" s="98">
        <f>-PV($E$7*0.01,$E$6,E39)-PV($E$7*0.01,$E$6,E40,,1)</f>
        <v>131677.63493620176</v>
      </c>
      <c r="F41" s="118"/>
      <c r="G41" s="98">
        <f>-PV($E$7*0.01,$E$6,G39)-PV($E$7*0.01,$E$6,G40,,1)</f>
        <v>131677.63493620176</v>
      </c>
      <c r="H41" s="118"/>
      <c r="I41" s="98">
        <f>-PV($E$7*0.01,$E$6,I39)-PV($E$7*0.01,$E$6,I40,,1)</f>
        <v>131677.63493620176</v>
      </c>
      <c r="J41" s="118"/>
      <c r="K41" s="98">
        <f>-PV($E$7*0.01,$E$6,K39)-PV($E$7*0.01,$E$6,K40,,1)</f>
        <v>131677.63493620176</v>
      </c>
      <c r="L41" s="118"/>
      <c r="M41" s="98">
        <f>-PV($E$7*0.01,$E$6,M39)-PV($E$7*0.01,$E$6,M40,,1)</f>
        <v>251106.1875527568</v>
      </c>
      <c r="N41" s="118"/>
      <c r="O41" s="98">
        <f>-PV($E$7*0.01,$E$6,O39)-PV($E$7*0.01,$E$6,O40,,1)</f>
        <v>0</v>
      </c>
      <c r="P41" s="118"/>
      <c r="Q41" s="98">
        <f>-PV($E$7*0.01,$E$6,Q39)-PV($E$7*0.01,$E$6,Q40,,1)</f>
        <v>0</v>
      </c>
      <c r="R41" s="118"/>
      <c r="S41" s="98">
        <f>-PV($E$7*0.01,$E$6,S39)-PV($E$7*0.01,$E$6,S40,,1)</f>
        <v>0</v>
      </c>
      <c r="T41" s="118"/>
      <c r="U41" s="98">
        <f>-PV($E$7*0.01,$E$6,U39)-PV($E$7*0.01,$E$6,U40,,1)</f>
        <v>0</v>
      </c>
      <c r="V41" s="118"/>
      <c r="W41" s="98">
        <f>-PV($E$7*0.01,$E$6,W39)-PV($E$7*0.01,$E$6,W40,,1)</f>
        <v>0</v>
      </c>
    </row>
    <row r="42" spans="2:23">
      <c r="B42" s="107"/>
      <c r="C42" s="108"/>
      <c r="D42" s="109"/>
    </row>
    <row r="43" spans="2:23">
      <c r="B43" s="100" t="s">
        <v>109</v>
      </c>
      <c r="C43" s="101"/>
      <c r="D43" s="102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</row>
    <row r="44" spans="2:23">
      <c r="B44" s="119" t="s">
        <v>1</v>
      </c>
      <c r="C44" s="122" t="s">
        <v>16</v>
      </c>
      <c r="D44" s="105" t="s">
        <v>23</v>
      </c>
      <c r="E44" s="87">
        <v>0</v>
      </c>
      <c r="F44" s="78" t="s">
        <v>23</v>
      </c>
      <c r="G44" s="87">
        <v>0</v>
      </c>
      <c r="H44" s="78" t="s">
        <v>23</v>
      </c>
      <c r="I44" s="87">
        <v>0</v>
      </c>
      <c r="J44" s="78" t="s">
        <v>23</v>
      </c>
      <c r="K44" s="87">
        <v>0</v>
      </c>
      <c r="L44" s="78" t="s">
        <v>23</v>
      </c>
      <c r="M44" s="87">
        <v>0</v>
      </c>
      <c r="N44" s="78" t="s">
        <v>23</v>
      </c>
      <c r="O44" s="87">
        <v>0</v>
      </c>
      <c r="P44" s="78" t="s">
        <v>23</v>
      </c>
      <c r="Q44" s="87">
        <v>0</v>
      </c>
      <c r="R44" s="78" t="s">
        <v>23</v>
      </c>
      <c r="S44" s="87">
        <v>0</v>
      </c>
      <c r="T44" s="78" t="s">
        <v>23</v>
      </c>
      <c r="U44" s="87">
        <v>0</v>
      </c>
      <c r="V44" s="78" t="s">
        <v>23</v>
      </c>
      <c r="W44" s="87">
        <v>0</v>
      </c>
    </row>
    <row r="45" spans="2:23">
      <c r="B45" s="151"/>
      <c r="C45" s="152" t="s">
        <v>168</v>
      </c>
      <c r="D45" s="153" t="s">
        <v>25</v>
      </c>
      <c r="E45" s="87">
        <v>0</v>
      </c>
      <c r="F45" s="153" t="s">
        <v>25</v>
      </c>
      <c r="G45" s="87">
        <v>0</v>
      </c>
      <c r="H45" s="153" t="s">
        <v>25</v>
      </c>
      <c r="I45" s="87">
        <v>0</v>
      </c>
      <c r="J45" s="153" t="s">
        <v>25</v>
      </c>
      <c r="K45" s="87">
        <v>0</v>
      </c>
      <c r="L45" s="153" t="s">
        <v>25</v>
      </c>
      <c r="M45" s="87">
        <v>0</v>
      </c>
      <c r="N45" s="153" t="s">
        <v>25</v>
      </c>
      <c r="O45" s="87">
        <v>0</v>
      </c>
      <c r="P45" s="153" t="s">
        <v>25</v>
      </c>
      <c r="Q45" s="87">
        <v>0</v>
      </c>
      <c r="R45" s="153" t="s">
        <v>25</v>
      </c>
      <c r="S45" s="87">
        <v>0</v>
      </c>
      <c r="T45" s="153" t="s">
        <v>25</v>
      </c>
      <c r="U45" s="87">
        <v>0</v>
      </c>
      <c r="V45" s="153" t="s">
        <v>25</v>
      </c>
      <c r="W45" s="87">
        <v>0</v>
      </c>
    </row>
    <row r="46" spans="2:23">
      <c r="B46" s="124"/>
      <c r="C46" s="122" t="s">
        <v>17</v>
      </c>
      <c r="D46" s="105" t="s">
        <v>23</v>
      </c>
      <c r="E46" s="84">
        <v>10000</v>
      </c>
      <c r="F46" s="78" t="s">
        <v>23</v>
      </c>
      <c r="G46" s="84">
        <v>10000</v>
      </c>
      <c r="H46" s="78" t="s">
        <v>23</v>
      </c>
      <c r="I46" s="84">
        <v>10000</v>
      </c>
      <c r="J46" s="78" t="s">
        <v>23</v>
      </c>
      <c r="K46" s="84">
        <v>10000</v>
      </c>
      <c r="L46" s="78" t="s">
        <v>23</v>
      </c>
      <c r="M46" s="76">
        <v>10000</v>
      </c>
      <c r="N46" s="78" t="s">
        <v>23</v>
      </c>
      <c r="P46" s="78" t="s">
        <v>23</v>
      </c>
      <c r="R46" s="78" t="s">
        <v>23</v>
      </c>
      <c r="T46" s="78" t="s">
        <v>23</v>
      </c>
      <c r="V46" s="78" t="s">
        <v>23</v>
      </c>
    </row>
    <row r="47" spans="2:23">
      <c r="B47" s="124"/>
      <c r="C47" s="122" t="s">
        <v>122</v>
      </c>
      <c r="D47" s="105"/>
      <c r="E47" s="84">
        <f>補助政策!$D$11</f>
        <v>3209698.2101458693</v>
      </c>
      <c r="F47" s="78"/>
      <c r="G47" s="84">
        <f>補助政策!$D$11</f>
        <v>3209698.2101458693</v>
      </c>
      <c r="H47" s="78"/>
      <c r="I47" s="84">
        <f>補助政策!$D$11</f>
        <v>3209698.2101458693</v>
      </c>
      <c r="J47" s="78"/>
      <c r="K47" s="84">
        <f>補助政策!$D$11</f>
        <v>3209698.2101458693</v>
      </c>
      <c r="L47" s="78"/>
      <c r="N47" s="78"/>
      <c r="O47" s="84"/>
      <c r="P47" s="78"/>
      <c r="Q47" s="84"/>
      <c r="R47" s="78"/>
      <c r="S47" s="84"/>
      <c r="T47" s="78"/>
      <c r="U47" s="84"/>
      <c r="V47" s="78"/>
      <c r="W47" s="84"/>
    </row>
    <row r="48" spans="2:23">
      <c r="B48" s="124"/>
      <c r="C48" s="122" t="s">
        <v>121</v>
      </c>
      <c r="D48" s="105"/>
      <c r="E48" s="84">
        <f>E27*5</f>
        <v>208335</v>
      </c>
      <c r="F48" s="78"/>
      <c r="G48" s="84">
        <f>G27*5</f>
        <v>208335</v>
      </c>
      <c r="H48" s="78"/>
      <c r="I48" s="84">
        <f>I27*5</f>
        <v>208335</v>
      </c>
      <c r="J48" s="78"/>
      <c r="K48" s="84">
        <f>K27*5</f>
        <v>208335</v>
      </c>
      <c r="L48" s="78"/>
      <c r="N48" s="78"/>
      <c r="O48" s="84">
        <f>O27*5</f>
        <v>0</v>
      </c>
      <c r="P48" s="78"/>
      <c r="Q48" s="84">
        <f>Q27*5</f>
        <v>0</v>
      </c>
      <c r="R48" s="78"/>
      <c r="S48" s="84">
        <f>S27*5</f>
        <v>0</v>
      </c>
      <c r="T48" s="78"/>
      <c r="U48" s="84">
        <f>U27*5</f>
        <v>0</v>
      </c>
      <c r="V48" s="78"/>
      <c r="W48" s="84">
        <f>W27*5</f>
        <v>0</v>
      </c>
    </row>
    <row r="49" spans="2:23">
      <c r="B49" s="119" t="s">
        <v>1</v>
      </c>
      <c r="C49" s="141" t="s">
        <v>162</v>
      </c>
      <c r="D49" s="105"/>
      <c r="E49" s="79"/>
      <c r="F49" s="78"/>
      <c r="G49" s="79"/>
      <c r="H49" s="78"/>
      <c r="I49" s="79"/>
      <c r="J49" s="78"/>
      <c r="K49" s="79"/>
      <c r="L49" s="78"/>
      <c r="M49" s="79"/>
      <c r="N49" s="78"/>
      <c r="O49" s="79"/>
      <c r="P49" s="78"/>
      <c r="Q49" s="79"/>
      <c r="R49" s="78"/>
      <c r="S49" s="79"/>
      <c r="T49" s="78"/>
      <c r="U49" s="79"/>
      <c r="V49" s="78"/>
      <c r="W49" s="79"/>
    </row>
    <row r="50" spans="2:23" hidden="1" outlineLevel="1">
      <c r="B50" s="125"/>
      <c r="C50" s="128" t="s">
        <v>110</v>
      </c>
      <c r="D50" s="105" t="s">
        <v>24</v>
      </c>
      <c r="F50" s="78" t="s">
        <v>24</v>
      </c>
      <c r="H50" s="78" t="s">
        <v>24</v>
      </c>
      <c r="J50" s="78" t="s">
        <v>24</v>
      </c>
      <c r="L50" s="78" t="s">
        <v>24</v>
      </c>
      <c r="N50" s="78" t="s">
        <v>24</v>
      </c>
      <c r="P50" s="78" t="s">
        <v>24</v>
      </c>
      <c r="R50" s="78" t="s">
        <v>24</v>
      </c>
      <c r="T50" s="78" t="s">
        <v>24</v>
      </c>
      <c r="V50" s="78" t="s">
        <v>24</v>
      </c>
    </row>
    <row r="51" spans="2:23" hidden="1" outlineLevel="1">
      <c r="B51" s="125"/>
      <c r="C51" s="128" t="s">
        <v>111</v>
      </c>
      <c r="D51" s="105" t="s">
        <v>24</v>
      </c>
      <c r="F51" s="78" t="s">
        <v>24</v>
      </c>
      <c r="H51" s="78" t="s">
        <v>24</v>
      </c>
      <c r="J51" s="78" t="s">
        <v>24</v>
      </c>
      <c r="L51" s="78" t="s">
        <v>24</v>
      </c>
      <c r="N51" s="78" t="s">
        <v>24</v>
      </c>
      <c r="P51" s="78" t="s">
        <v>24</v>
      </c>
      <c r="R51" s="78" t="s">
        <v>24</v>
      </c>
      <c r="T51" s="78" t="s">
        <v>24</v>
      </c>
      <c r="V51" s="78" t="s">
        <v>24</v>
      </c>
    </row>
    <row r="52" spans="2:23" hidden="1" outlineLevel="1">
      <c r="B52" s="125"/>
      <c r="C52" s="128" t="s">
        <v>112</v>
      </c>
      <c r="D52" s="105" t="s">
        <v>25</v>
      </c>
      <c r="F52" s="78" t="s">
        <v>25</v>
      </c>
      <c r="H52" s="78" t="s">
        <v>25</v>
      </c>
      <c r="J52" s="78" t="s">
        <v>25</v>
      </c>
      <c r="L52" s="78" t="s">
        <v>25</v>
      </c>
      <c r="N52" s="78" t="s">
        <v>25</v>
      </c>
      <c r="P52" s="78" t="s">
        <v>25</v>
      </c>
      <c r="R52" s="78" t="s">
        <v>25</v>
      </c>
      <c r="T52" s="78" t="s">
        <v>25</v>
      </c>
      <c r="V52" s="78" t="s">
        <v>25</v>
      </c>
    </row>
    <row r="53" spans="2:23" hidden="1" outlineLevel="1">
      <c r="B53" s="125"/>
      <c r="C53" s="128" t="s">
        <v>113</v>
      </c>
      <c r="D53" s="105" t="s">
        <v>25</v>
      </c>
      <c r="F53" s="78" t="s">
        <v>25</v>
      </c>
      <c r="H53" s="78" t="s">
        <v>25</v>
      </c>
      <c r="J53" s="78" t="s">
        <v>25</v>
      </c>
      <c r="L53" s="78" t="s">
        <v>25</v>
      </c>
      <c r="N53" s="78" t="s">
        <v>25</v>
      </c>
      <c r="P53" s="78" t="s">
        <v>25</v>
      </c>
      <c r="R53" s="78" t="s">
        <v>25</v>
      </c>
      <c r="T53" s="78" t="s">
        <v>25</v>
      </c>
      <c r="V53" s="78" t="s">
        <v>25</v>
      </c>
    </row>
    <row r="54" spans="2:23" hidden="1" outlineLevel="1">
      <c r="B54" s="125"/>
      <c r="C54" s="128" t="s">
        <v>114</v>
      </c>
      <c r="D54" s="105" t="s">
        <v>25</v>
      </c>
      <c r="F54" s="78" t="s">
        <v>25</v>
      </c>
      <c r="H54" s="78" t="s">
        <v>25</v>
      </c>
      <c r="J54" s="78" t="s">
        <v>25</v>
      </c>
      <c r="L54" s="78" t="s">
        <v>25</v>
      </c>
      <c r="N54" s="78" t="s">
        <v>25</v>
      </c>
      <c r="P54" s="78" t="s">
        <v>25</v>
      </c>
      <c r="R54" s="78" t="s">
        <v>25</v>
      </c>
      <c r="T54" s="78" t="s">
        <v>25</v>
      </c>
      <c r="V54" s="78" t="s">
        <v>25</v>
      </c>
    </row>
    <row r="55" spans="2:23" hidden="1" outlineLevel="1">
      <c r="B55" s="125"/>
      <c r="C55" s="128" t="s">
        <v>115</v>
      </c>
      <c r="D55" s="105" t="s">
        <v>25</v>
      </c>
      <c r="F55" s="78" t="s">
        <v>25</v>
      </c>
      <c r="H55" s="78" t="s">
        <v>25</v>
      </c>
      <c r="J55" s="78" t="s">
        <v>25</v>
      </c>
      <c r="L55" s="78" t="s">
        <v>25</v>
      </c>
      <c r="N55" s="78" t="s">
        <v>25</v>
      </c>
      <c r="P55" s="78" t="s">
        <v>25</v>
      </c>
      <c r="R55" s="78" t="s">
        <v>25</v>
      </c>
      <c r="T55" s="78" t="s">
        <v>25</v>
      </c>
      <c r="V55" s="78" t="s">
        <v>25</v>
      </c>
    </row>
    <row r="56" spans="2:23" s="129" customFormat="1" collapsed="1">
      <c r="B56" s="116"/>
      <c r="C56" s="117" t="str">
        <f>B43</f>
        <v>課稅、補助與其他成本</v>
      </c>
      <c r="D56" s="118"/>
      <c r="E56" s="99">
        <f>-PV($E$7*0.01,$E$6,(E44+E50+E51-E48-E54))-PV($E$7*0.01,$E$6,E46,,1)+E45-E47+E52+E53-E55</f>
        <v>-4629994.8309654174</v>
      </c>
      <c r="F56" s="118"/>
      <c r="G56" s="99">
        <f>-PV($E$7*0.01,$E$6,(G44+G50+G51-G48-G54))-PV($E$7*0.01,$E$6,G46,,1)+G45-G47+G52+G53-G55</f>
        <v>-4629994.8309654174</v>
      </c>
      <c r="H56" s="118"/>
      <c r="I56" s="99">
        <f>-PV($E$7*0.01,$E$6,(I44+I50+I51-I48-I54))-PV($E$7*0.01,$E$6,I46,,1)+I45-I47+I52+I53-I55</f>
        <v>-4629994.8309654174</v>
      </c>
      <c r="J56" s="140"/>
      <c r="K56" s="99">
        <f>-PV($E$7*0.01,$E$6,(K44+K50+K51-K48-K54))-PV($E$7*0.01,$E$6,K46,,1)+K45-K47+K52+K53-K55</f>
        <v>-4629994.8309654174</v>
      </c>
      <c r="L56" s="118"/>
      <c r="M56" s="99">
        <f>-PV($E$7*0.01,$E$6,(M44+M50+M51-M48-M54))-PV($E$7*0.01,$E$6,M46,,1)+M45-M47+M52+M53-M55</f>
        <v>73493.905966632316</v>
      </c>
      <c r="N56" s="118"/>
      <c r="O56" s="99">
        <f>-PV($E$7*0.01,$E$6,(O44+O50+O51-O48-O54))-PV($E$7*0.01,$E$6,O46,,1)+O45-O47+O52+O53-O55</f>
        <v>0</v>
      </c>
      <c r="P56" s="118"/>
      <c r="Q56" s="99">
        <f>-PV($E$7*0.01,$E$6,(Q44+Q50+Q51-Q48-Q54))-PV($E$7*0.01,$E$6,Q46,,1)+Q45-Q47+Q52+Q53-Q55</f>
        <v>0</v>
      </c>
      <c r="R56" s="118"/>
      <c r="S56" s="99">
        <f>-PV($E$7*0.01,$E$6,(S44+S50+S51-S48-S54))-PV($E$7*0.01,$E$6,S46,,1)+S45-S47+S52+S53-S55</f>
        <v>0</v>
      </c>
      <c r="T56" s="118"/>
      <c r="U56" s="99">
        <f>-PV($E$7*0.01,$E$6,(U44+U50+U51-U48-U54))-PV($E$7*0.01,$E$6,U46,,1)+U45-U47+U52+U53-U55</f>
        <v>0</v>
      </c>
      <c r="V56" s="118"/>
      <c r="W56" s="99">
        <f>-PV($E$7*0.01,$E$6,(W44+W50+W51-W48-W54))-PV($E$7*0.01,$E$6,W46,,1)+W45-W47+W52+W53-W55</f>
        <v>0</v>
      </c>
    </row>
    <row r="57" spans="2:23">
      <c r="B57" s="129"/>
      <c r="C57" s="130"/>
      <c r="D57" s="131"/>
      <c r="M57" s="91"/>
    </row>
    <row r="58" spans="2:23">
      <c r="B58" s="100" t="s">
        <v>131</v>
      </c>
      <c r="C58" s="101"/>
      <c r="D58" s="102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2:23">
      <c r="B59" s="129"/>
      <c r="C59" s="130"/>
      <c r="D59" s="131"/>
      <c r="M59" s="91"/>
    </row>
    <row r="60" spans="2:23">
      <c r="B60" s="129"/>
      <c r="C60" s="130"/>
      <c r="D60" s="131"/>
      <c r="M60" s="91"/>
    </row>
    <row r="61" spans="2:23">
      <c r="B61" s="129"/>
      <c r="C61" s="130"/>
      <c r="D61" s="131"/>
      <c r="M61" s="91"/>
    </row>
    <row r="62" spans="2:23">
      <c r="B62" s="129"/>
      <c r="C62" s="130"/>
      <c r="D62" s="131"/>
    </row>
    <row r="63" spans="2:23">
      <c r="B63" s="100" t="s">
        <v>18</v>
      </c>
      <c r="C63" s="101"/>
      <c r="D63" s="102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</row>
    <row r="64" spans="2:23">
      <c r="B64" s="119" t="s">
        <v>1</v>
      </c>
      <c r="C64" s="132" t="s">
        <v>19</v>
      </c>
      <c r="D64" s="133" t="s">
        <v>93</v>
      </c>
      <c r="E64" s="76">
        <v>0</v>
      </c>
      <c r="F64" s="95" t="s">
        <v>93</v>
      </c>
      <c r="G64" s="76">
        <v>0</v>
      </c>
      <c r="H64" s="95" t="s">
        <v>93</v>
      </c>
      <c r="I64" s="76">
        <v>0</v>
      </c>
      <c r="J64" s="95" t="s">
        <v>93</v>
      </c>
      <c r="K64" s="76">
        <v>0</v>
      </c>
      <c r="L64" s="95" t="s">
        <v>93</v>
      </c>
      <c r="M64" s="76">
        <v>0</v>
      </c>
      <c r="N64" s="95" t="s">
        <v>93</v>
      </c>
      <c r="O64" s="76">
        <v>0</v>
      </c>
      <c r="P64" s="95" t="s">
        <v>93</v>
      </c>
      <c r="R64" s="95" t="s">
        <v>93</v>
      </c>
      <c r="T64" s="95" t="s">
        <v>93</v>
      </c>
      <c r="V64" s="95" t="s">
        <v>93</v>
      </c>
    </row>
    <row r="65" spans="2:23" s="129" customFormat="1">
      <c r="B65" s="116"/>
      <c r="C65" s="117" t="str">
        <f>B63</f>
        <v>回收價格</v>
      </c>
      <c r="D65" s="118"/>
      <c r="E65" s="99">
        <f>E64/(1+$E$7*0.01)^($E$6+1)</f>
        <v>0</v>
      </c>
      <c r="F65" s="118"/>
      <c r="G65" s="99">
        <f>G64/(1+$E$7*0.01)^($E$6+1)</f>
        <v>0</v>
      </c>
      <c r="H65" s="118"/>
      <c r="I65" s="99">
        <f>I64/(1+$E$7*0.01)^($E$6+1)</f>
        <v>0</v>
      </c>
      <c r="J65" s="118"/>
      <c r="K65" s="99">
        <f>K64/(1+$E$7*0.01)^($E$6+1)</f>
        <v>0</v>
      </c>
      <c r="L65" s="118"/>
      <c r="M65" s="99">
        <f>M64/(1+$E$7*0.01)^($E$6+1)</f>
        <v>0</v>
      </c>
      <c r="N65" s="118"/>
      <c r="O65" s="99">
        <f>O64/(1+$E$7*0.01)^($E$6+1)</f>
        <v>0</v>
      </c>
      <c r="P65" s="118"/>
      <c r="Q65" s="99">
        <f>Q64/(1+$E$7*0.01)^($E$6+1)</f>
        <v>0</v>
      </c>
      <c r="R65" s="118"/>
      <c r="S65" s="99">
        <f>S64/(1+$E$7*0.01)^($E$6+1)</f>
        <v>0</v>
      </c>
      <c r="T65" s="118"/>
      <c r="U65" s="99">
        <f>U64/(1+$E$7*0.01)^($E$6+1)</f>
        <v>0</v>
      </c>
      <c r="V65" s="118"/>
      <c r="W65" s="99">
        <f>W64/(1+$E$7*0.01)^($E$6+1)</f>
        <v>0</v>
      </c>
    </row>
    <row r="66" spans="2:23">
      <c r="B66" s="134"/>
      <c r="C66" s="135"/>
      <c r="D66" s="109"/>
    </row>
    <row r="67" spans="2:23">
      <c r="B67" s="136"/>
      <c r="C67" s="137" t="s">
        <v>172</v>
      </c>
      <c r="D67" s="138"/>
      <c r="E67" s="99">
        <f ca="1">IF(E24&gt;0,E24+E34+E41-PV($E$7*0.01,$E$6,E46,,1),"NA")</f>
        <v>14592618.090128219</v>
      </c>
      <c r="F67" s="138"/>
      <c r="G67" s="99">
        <f ca="1">IF(G24&gt;0,G24+G34+G41-PV($E$7*0.01,$E$6,G46,,1),"NA")</f>
        <v>10119980.473157451</v>
      </c>
      <c r="H67" s="138"/>
      <c r="I67" s="99">
        <f ca="1">IF(I24&gt;0,I24+I34+I41-PV($E$7*0.01,$E$6,I46,,1),"NA")</f>
        <v>9172319.2730811462</v>
      </c>
      <c r="J67" s="138"/>
      <c r="K67" s="99">
        <f ca="1">IF(K24&gt;0,K24+K34+K41-PV($E$7*0.01,$E$6,K46,,1),"NA")</f>
        <v>10311857.675382966</v>
      </c>
      <c r="L67" s="138"/>
      <c r="M67" s="99">
        <f ca="1">IF(M24&gt;0,M24+M34+M41-PV($E$7*0.01,$E$6,M46,,1),"NA")</f>
        <v>8821050.1437379941</v>
      </c>
      <c r="N67" s="138"/>
      <c r="O67" s="99" t="str">
        <f ca="1">IF(O24&gt;0,O24+O34+O41-PV($E$7*0.01,$E$6,O46,,1),"NA")</f>
        <v>NA</v>
      </c>
      <c r="P67" s="138"/>
      <c r="Q67" s="99" t="str">
        <f ca="1">IF(Q24&gt;0,Q24+Q34+Q41-PV($E$7*0.01,$E$6,Q46,,1),"NA")</f>
        <v>NA</v>
      </c>
      <c r="R67" s="138"/>
      <c r="S67" s="99" t="str">
        <f ca="1">IF(S24&gt;0,S24+S34+S41-PV($E$7*0.01,$E$6,S46,,1),"NA")</f>
        <v>NA</v>
      </c>
      <c r="T67" s="138"/>
      <c r="U67" s="99" t="str">
        <f ca="1">IF(U24&gt;0,U24+U34+U41-PV($E$7*0.01,$E$6,U46,,1),"NA")</f>
        <v>NA</v>
      </c>
      <c r="V67" s="138"/>
      <c r="W67" s="99" t="str">
        <f ca="1">IF(W24&gt;0,W24+W34+W41-PV($E$7*0.01,$E$6,W46,,1),"NA")</f>
        <v>NA</v>
      </c>
    </row>
    <row r="68" spans="2:23" s="129" customFormat="1">
      <c r="B68" s="136"/>
      <c r="C68" s="137" t="s">
        <v>173</v>
      </c>
      <c r="D68" s="138"/>
      <c r="E68" s="99">
        <f ca="1">IF(E24&gt;0,E65+E56+E41+E34+E24,"NA")</f>
        <v>9889129.3531961683</v>
      </c>
      <c r="F68" s="138"/>
      <c r="G68" s="99">
        <f ca="1">IF(G24&gt;0,G65+G56+G41+G34+G24,"NA")</f>
        <v>5416491.7362254001</v>
      </c>
      <c r="H68" s="138"/>
      <c r="I68" s="99">
        <f ca="1">IF(I24&gt;0,I65+I56+I41+I34+I24,"NA")</f>
        <v>4468830.5361490957</v>
      </c>
      <c r="J68" s="138"/>
      <c r="K68" s="99">
        <f ca="1">IF(K24&gt;0,K65+K56+K41+K34+K24,"NA")</f>
        <v>5608368.9384509157</v>
      </c>
      <c r="L68" s="138"/>
      <c r="M68" s="99">
        <f ca="1">IF(M24&gt;0,M65+M56+M41+M34+M24,"NA")</f>
        <v>8821050.1437379941</v>
      </c>
      <c r="N68" s="138"/>
      <c r="O68" s="99" t="str">
        <f ca="1">IF(O24&gt;0,O65+O56+O41+O34+O24,"NA")</f>
        <v>NA</v>
      </c>
      <c r="P68" s="138"/>
      <c r="Q68" s="99" t="str">
        <f ca="1">IF(Q24&gt;0,Q65+Q56+Q41+Q34+Q24,"NA")</f>
        <v>NA</v>
      </c>
      <c r="R68" s="138"/>
      <c r="S68" s="99" t="str">
        <f ca="1">IF(S24&gt;0,S65+S56+S41+S34+S24,"NA")</f>
        <v>NA</v>
      </c>
      <c r="T68" s="138"/>
      <c r="U68" s="99" t="str">
        <f ca="1">IF(U24&gt;0,U65+U56+U41+U34+U24,"NA")</f>
        <v>NA</v>
      </c>
      <c r="V68" s="138"/>
      <c r="W68" s="99" t="str">
        <f ca="1">IF(W24&gt;0,W65+W56+W41+W34+W24,"NA")</f>
        <v>NA</v>
      </c>
    </row>
    <row r="69" spans="2:23" s="129" customFormat="1">
      <c r="B69" s="136"/>
      <c r="C69" s="137" t="s">
        <v>174</v>
      </c>
      <c r="D69" s="64"/>
      <c r="E69" s="99">
        <f ca="1">IF(ISNUMBER(E68),E68*$E$14,"NA")</f>
        <v>118669552.23835403</v>
      </c>
      <c r="F69" s="64"/>
      <c r="G69" s="99">
        <f ca="1">IF(ISNUMBER(G68),G68*$E$14,"NA")</f>
        <v>64997900.834704801</v>
      </c>
      <c r="H69" s="64"/>
      <c r="I69" s="99">
        <f ca="1">IF(ISNUMBER(I68),I68*$E$14,"NA")</f>
        <v>53625966.433789149</v>
      </c>
      <c r="J69" s="64"/>
      <c r="K69" s="99">
        <f ca="1">IF(ISNUMBER(K68),K68*$E$14,"NA")</f>
        <v>67300427.261410981</v>
      </c>
      <c r="L69" s="64"/>
      <c r="M69" s="99">
        <f ca="1">IF(ISNUMBER(M68),M68*$E$14,"NA")</f>
        <v>105852601.72485593</v>
      </c>
      <c r="N69" s="64"/>
      <c r="O69" s="99" t="str">
        <f ca="1">IF(ISNUMBER(O68),O68*$E$14,"NA")</f>
        <v>NA</v>
      </c>
      <c r="P69" s="64"/>
      <c r="Q69" s="99" t="str">
        <f ca="1">IF(ISNUMBER(Q68),Q68*$E$14,"NA")</f>
        <v>NA</v>
      </c>
      <c r="R69" s="64"/>
      <c r="S69" s="99" t="str">
        <f ca="1">IF(ISNUMBER(S68),S68*$E$14,"NA")</f>
        <v>NA</v>
      </c>
      <c r="T69" s="64"/>
      <c r="U69" s="99" t="str">
        <f ca="1">IF(ISNUMBER(U68),U68*$E$14,"NA")</f>
        <v>NA</v>
      </c>
      <c r="V69" s="64"/>
      <c r="W69" s="99" t="str">
        <f ca="1">IF(ISNUMBER(W68),W68*$E$14,"NA")</f>
        <v>NA</v>
      </c>
    </row>
    <row r="70" spans="2:23">
      <c r="E70" s="91">
        <f ca="1">E68-$M$68</f>
        <v>1068079.2094581742</v>
      </c>
      <c r="G70" s="91">
        <f ca="1">G68-$M$68</f>
        <v>-3404558.407512594</v>
      </c>
      <c r="I70" s="91">
        <f ca="1">I68-$M$68</f>
        <v>-4352219.6075888984</v>
      </c>
      <c r="K70" s="91">
        <f ca="1">K68-$M$68</f>
        <v>-3212681.2052870784</v>
      </c>
      <c r="M70" s="91"/>
    </row>
    <row r="71" spans="2:23" s="129" customFormat="1">
      <c r="B71" s="122"/>
      <c r="C71" s="169" t="s">
        <v>189</v>
      </c>
      <c r="D71" s="105"/>
      <c r="E71" s="90" t="s">
        <v>101</v>
      </c>
      <c r="F71" s="105"/>
      <c r="G71" s="99">
        <f ca="1">INDEX(E67:W67,MATCH(E71,E12:W12,0))</f>
        <v>8821050.1437379941</v>
      </c>
    </row>
    <row r="72" spans="2:23">
      <c r="B72" s="136"/>
      <c r="C72" s="137" t="s">
        <v>191</v>
      </c>
      <c r="D72" s="138"/>
      <c r="E72" s="99">
        <f ca="1">IF(ISNUMBER(E67),E67-$G$71,"NA")</f>
        <v>5771567.9463902246</v>
      </c>
      <c r="F72" s="138"/>
      <c r="G72" s="99">
        <f ca="1">IF(ISNUMBER(G67),G67-$G$71,"NA")</f>
        <v>1298930.3294194564</v>
      </c>
      <c r="H72" s="138"/>
      <c r="I72" s="99">
        <f ca="1">IF(ISNUMBER(I67),I67-$G$71,"NA")</f>
        <v>351269.12934315205</v>
      </c>
      <c r="J72" s="138"/>
      <c r="K72" s="99">
        <f ca="1">IF(ISNUMBER(K67),K67-$G$71,"NA")</f>
        <v>1490807.531644972</v>
      </c>
      <c r="L72" s="138"/>
      <c r="M72" s="99">
        <f ca="1">IF(ISNUMBER(M67),M67-$G$71,"NA")</f>
        <v>0</v>
      </c>
      <c r="N72" s="138"/>
      <c r="O72" s="99" t="str">
        <f ca="1">IF(ISNUMBER(O67),O67-$G$71,"NA")</f>
        <v>NA</v>
      </c>
      <c r="P72" s="138"/>
      <c r="Q72" s="99" t="str">
        <f ca="1">IF(ISNUMBER(Q67),Q67-$G$71,"NA")</f>
        <v>NA</v>
      </c>
      <c r="R72" s="138"/>
      <c r="S72" s="99" t="str">
        <f ca="1">IF(ISNUMBER(S67),S67-$G$71,"NA")</f>
        <v>NA</v>
      </c>
      <c r="T72" s="138"/>
      <c r="U72" s="99" t="str">
        <f ca="1">IF(ISNUMBER(U67),U67-$G$71,"NA")</f>
        <v>NA</v>
      </c>
      <c r="V72" s="138"/>
      <c r="W72" s="99" t="str">
        <f ca="1">IF(ISNUMBER(W67),W67-$G$71,"NA")</f>
        <v>NA</v>
      </c>
    </row>
    <row r="73" spans="2:23">
      <c r="E73" s="91">
        <f ca="1">E72-3338000</f>
        <v>2433567.9463902246</v>
      </c>
      <c r="G73" s="91">
        <f ca="1">G72-3338000</f>
        <v>-2039069.6705805436</v>
      </c>
      <c r="I73" s="91">
        <f ca="1">I72-3338000</f>
        <v>-2986730.870656848</v>
      </c>
      <c r="K73" s="91">
        <f ca="1">K72-3338000</f>
        <v>-1847192.468355028</v>
      </c>
      <c r="M73" s="91"/>
      <c r="O73" s="91"/>
      <c r="Q73" s="91"/>
      <c r="S73" s="91"/>
      <c r="U73" s="91"/>
      <c r="W73" s="91"/>
    </row>
    <row r="74" spans="2:23">
      <c r="B74" s="122"/>
      <c r="C74" s="169" t="s">
        <v>190</v>
      </c>
      <c r="D74" s="105"/>
      <c r="E74" s="90" t="str">
        <f ca="1">INDIRECT(ADDRESS(12,MATCH(MIN(E69:W69),E69:W69,0)+4))</f>
        <v>車款 3</v>
      </c>
    </row>
    <row r="75" spans="2:23">
      <c r="B75" s="122"/>
      <c r="C75" s="169" t="s">
        <v>173</v>
      </c>
      <c r="D75" s="105" t="s">
        <v>25</v>
      </c>
      <c r="E75" s="91">
        <f t="array" aca="1" ref="E75" ca="1">MIN(IF(E69:W69&gt;0,E69:W69))</f>
        <v>53625966.433789149</v>
      </c>
      <c r="G75" s="91"/>
      <c r="I75" s="91"/>
    </row>
    <row r="78" spans="2:23">
      <c r="G78" s="162"/>
      <c r="I78" s="162"/>
    </row>
    <row r="79" spans="2:23">
      <c r="G79" s="162"/>
      <c r="I79" s="162"/>
    </row>
    <row r="80" spans="2:23">
      <c r="G80" s="162"/>
      <c r="I80" s="162"/>
    </row>
    <row r="81" spans="2:9">
      <c r="B81" s="61" t="s">
        <v>88</v>
      </c>
      <c r="C81" s="62"/>
      <c r="D81" s="63"/>
      <c r="G81" s="162"/>
      <c r="I81" s="162"/>
    </row>
    <row r="82" spans="2:9">
      <c r="B82" s="96"/>
      <c r="C82" s="77"/>
      <c r="D82" s="92" t="s">
        <v>92</v>
      </c>
    </row>
    <row r="83" spans="2:9">
      <c r="B83" s="96"/>
      <c r="C83" s="80" t="s">
        <v>89</v>
      </c>
      <c r="D83" s="97">
        <f ca="1">IF(CELL("contents",$E$6)&gt;0,INDEX(能源價格!$D$6:$P$6,LCC總表!$E$6)/LCC總表!$E$6,"")</f>
        <v>2.0374581954024158E-2</v>
      </c>
    </row>
    <row r="84" spans="2:9">
      <c r="B84" s="96"/>
      <c r="C84" s="80" t="s">
        <v>90</v>
      </c>
      <c r="D84" s="97">
        <f ca="1">IF(CELL("contents",$E$6)&gt;0,INDEX(能源價格!$D$9:$P$9,LCC總表!$E$6)/LCC總表!$E$6,"")</f>
        <v>1.2428001371032496E-2</v>
      </c>
    </row>
    <row r="85" spans="2:9">
      <c r="B85" s="96"/>
      <c r="C85" s="80" t="s">
        <v>91</v>
      </c>
      <c r="D85" s="97">
        <f ca="1">IF(CELL("contents",$E$6)&gt;0,INDEX(能源價格!$D$12:$P$12,LCC總表!$E$6)/LCC總表!$E$6,"")</f>
        <v>7.1112470759330361E-3</v>
      </c>
    </row>
    <row r="86" spans="2:9">
      <c r="B86" s="96"/>
      <c r="C86" s="80" t="s">
        <v>85</v>
      </c>
      <c r="D86" s="97">
        <f ca="1">IF(CELL("contents",$E$6)&gt;0,INDEX(能源價格!D15:Z15,LCC總表!$E$6)/LCC總表!$E$6,"")</f>
        <v>-5.9740060535042917E-2</v>
      </c>
    </row>
  </sheetData>
  <sheetProtection selectLockedCells="1"/>
  <phoneticPr fontId="3" type="noConversion"/>
  <conditionalFormatting sqref="E15">
    <cfRule type="expression" dxfId="221" priority="551">
      <formula>E16&gt;0</formula>
    </cfRule>
  </conditionalFormatting>
  <conditionalFormatting sqref="O15">
    <cfRule type="expression" dxfId="220" priority="546">
      <formula>O16&gt;0</formula>
    </cfRule>
  </conditionalFormatting>
  <conditionalFormatting sqref="Q15">
    <cfRule type="expression" dxfId="219" priority="545">
      <formula>Q16&gt;0</formula>
    </cfRule>
  </conditionalFormatting>
  <conditionalFormatting sqref="E33">
    <cfRule type="expression" priority="472">
      <formula>E$28="電力"</formula>
    </cfRule>
    <cfRule type="expression" dxfId="218" priority="473">
      <formula>E$28&lt;&gt;"電力"</formula>
    </cfRule>
    <cfRule type="expression" dxfId="217" priority="532">
      <formula>E31&gt;0</formula>
    </cfRule>
  </conditionalFormatting>
  <conditionalFormatting sqref="E20">
    <cfRule type="expression" dxfId="216" priority="530">
      <formula>E22&gt;0</formula>
    </cfRule>
  </conditionalFormatting>
  <conditionalFormatting sqref="E31">
    <cfRule type="expression" priority="469">
      <formula>E$28="電力"</formula>
    </cfRule>
    <cfRule type="expression" dxfId="215" priority="492">
      <formula>E$28&lt;&gt;"電力"</formula>
    </cfRule>
  </conditionalFormatting>
  <conditionalFormatting sqref="E32">
    <cfRule type="expression" dxfId="214" priority="470">
      <formula>E$28&lt;&gt;"電力"</formula>
    </cfRule>
    <cfRule type="expression" priority="471">
      <formula>E$28="電力"</formula>
    </cfRule>
  </conditionalFormatting>
  <conditionalFormatting sqref="I31">
    <cfRule type="expression" priority="455">
      <formula>$E$28="電力"</formula>
    </cfRule>
    <cfRule type="expression" dxfId="213" priority="460">
      <formula>I$28&lt;&gt;"電力"</formula>
    </cfRule>
  </conditionalFormatting>
  <conditionalFormatting sqref="K31">
    <cfRule type="expression" priority="448">
      <formula>$E$28="電力"</formula>
    </cfRule>
    <cfRule type="expression" dxfId="212" priority="453">
      <formula>K$28&lt;&gt;"電力"</formula>
    </cfRule>
  </conditionalFormatting>
  <conditionalFormatting sqref="M31">
    <cfRule type="expression" priority="441">
      <formula>$E$28="電力"</formula>
    </cfRule>
    <cfRule type="expression" dxfId="211" priority="446">
      <formula>M$28&lt;&gt;"電力"</formula>
    </cfRule>
  </conditionalFormatting>
  <conditionalFormatting sqref="O31">
    <cfRule type="expression" priority="434">
      <formula>$E$28="電力"</formula>
    </cfRule>
    <cfRule type="expression" dxfId="210" priority="439">
      <formula>O$28&lt;&gt;"電力"</formula>
    </cfRule>
  </conditionalFormatting>
  <conditionalFormatting sqref="G31">
    <cfRule type="expression" priority="359">
      <formula>G$28="電力"</formula>
    </cfRule>
    <cfRule type="expression" dxfId="209" priority="360">
      <formula>G$28&lt;&gt;"電力"</formula>
    </cfRule>
  </conditionalFormatting>
  <conditionalFormatting sqref="E22 G22 I22 K22 M22 O22 Q22 S22 U22 W22">
    <cfRule type="expression" dxfId="208" priority="349">
      <formula>E20&gt;0</formula>
    </cfRule>
  </conditionalFormatting>
  <conditionalFormatting sqref="E21">
    <cfRule type="expression" dxfId="207" priority="348">
      <formula>E23&gt;0</formula>
    </cfRule>
  </conditionalFormatting>
  <conditionalFormatting sqref="G23">
    <cfRule type="expression" dxfId="206" priority="337">
      <formula>G21&gt;0</formula>
    </cfRule>
  </conditionalFormatting>
  <conditionalFormatting sqref="I23">
    <cfRule type="expression" dxfId="205" priority="336">
      <formula>I21&gt;0</formula>
    </cfRule>
  </conditionalFormatting>
  <conditionalFormatting sqref="K23">
    <cfRule type="expression" dxfId="204" priority="335">
      <formula>K21&gt;0</formula>
    </cfRule>
  </conditionalFormatting>
  <conditionalFormatting sqref="M23">
    <cfRule type="expression" dxfId="203" priority="334">
      <formula>M21&gt;0</formula>
    </cfRule>
  </conditionalFormatting>
  <conditionalFormatting sqref="O23">
    <cfRule type="expression" dxfId="202" priority="333">
      <formula>O21&gt;0</formula>
    </cfRule>
  </conditionalFormatting>
  <conditionalFormatting sqref="Q23">
    <cfRule type="expression" dxfId="201" priority="332">
      <formula>Q21&gt;0</formula>
    </cfRule>
  </conditionalFormatting>
  <conditionalFormatting sqref="S23">
    <cfRule type="expression" dxfId="200" priority="331">
      <formula>S21&gt;0</formula>
    </cfRule>
  </conditionalFormatting>
  <conditionalFormatting sqref="U23">
    <cfRule type="expression" dxfId="199" priority="330">
      <formula>U21&gt;0</formula>
    </cfRule>
  </conditionalFormatting>
  <conditionalFormatting sqref="W23">
    <cfRule type="expression" dxfId="198" priority="329">
      <formula>W21&gt;0</formula>
    </cfRule>
  </conditionalFormatting>
  <conditionalFormatting sqref="G15">
    <cfRule type="expression" dxfId="197" priority="319">
      <formula>G16&gt;0</formula>
    </cfRule>
  </conditionalFormatting>
  <conditionalFormatting sqref="E16">
    <cfRule type="expression" dxfId="196" priority="308">
      <formula>E$15&gt;0</formula>
    </cfRule>
  </conditionalFormatting>
  <conditionalFormatting sqref="G16">
    <cfRule type="expression" dxfId="195" priority="293">
      <formula>G$15&gt;0</formula>
    </cfRule>
  </conditionalFormatting>
  <conditionalFormatting sqref="K16">
    <cfRule type="expression" dxfId="194" priority="291">
      <formula>K$15&gt;0</formula>
    </cfRule>
  </conditionalFormatting>
  <conditionalFormatting sqref="M16">
    <cfRule type="expression" dxfId="193" priority="290">
      <formula>M$15&gt;0</formula>
    </cfRule>
  </conditionalFormatting>
  <conditionalFormatting sqref="O16">
    <cfRule type="expression" dxfId="192" priority="289">
      <formula>O$15&gt;0</formula>
    </cfRule>
  </conditionalFormatting>
  <conditionalFormatting sqref="Q16">
    <cfRule type="expression" dxfId="191" priority="288">
      <formula>Q$15&gt;0</formula>
    </cfRule>
  </conditionalFormatting>
  <conditionalFormatting sqref="S16">
    <cfRule type="expression" dxfId="190" priority="287">
      <formula>S$15&gt;0</formula>
    </cfRule>
  </conditionalFormatting>
  <conditionalFormatting sqref="U16">
    <cfRule type="expression" dxfId="189" priority="286">
      <formula>U$15&gt;0</formula>
    </cfRule>
  </conditionalFormatting>
  <conditionalFormatting sqref="W16">
    <cfRule type="expression" dxfId="188" priority="285">
      <formula>W$15&gt;0</formula>
    </cfRule>
  </conditionalFormatting>
  <conditionalFormatting sqref="G32">
    <cfRule type="expression" dxfId="187" priority="283">
      <formula>G$28&lt;&gt;"電力"</formula>
    </cfRule>
    <cfRule type="expression" priority="284">
      <formula>G$28="電力"</formula>
    </cfRule>
  </conditionalFormatting>
  <conditionalFormatting sqref="I32">
    <cfRule type="expression" dxfId="186" priority="265">
      <formula>I$28&lt;&gt;"電力"</formula>
    </cfRule>
    <cfRule type="expression" priority="266">
      <formula>I$28="電力"</formula>
    </cfRule>
  </conditionalFormatting>
  <conditionalFormatting sqref="K32">
    <cfRule type="expression" dxfId="185" priority="263">
      <formula>K$28&lt;&gt;"電力"</formula>
    </cfRule>
    <cfRule type="expression" priority="264">
      <formula>K$28="電力"</formula>
    </cfRule>
  </conditionalFormatting>
  <conditionalFormatting sqref="M32">
    <cfRule type="expression" dxfId="184" priority="261">
      <formula>M$28&lt;&gt;"電力"</formula>
    </cfRule>
    <cfRule type="expression" priority="262">
      <formula>M$28="電力"</formula>
    </cfRule>
  </conditionalFormatting>
  <conditionalFormatting sqref="O32">
    <cfRule type="expression" dxfId="183" priority="259">
      <formula>O$28&lt;&gt;"電力"</formula>
    </cfRule>
    <cfRule type="expression" priority="260">
      <formula>O$28="電力"</formula>
    </cfRule>
  </conditionalFormatting>
  <conditionalFormatting sqref="S32">
    <cfRule type="expression" dxfId="182" priority="255">
      <formula>S$28&lt;&gt;"電力"</formula>
    </cfRule>
    <cfRule type="expression" priority="256">
      <formula>S$28="電力"</formula>
    </cfRule>
  </conditionalFormatting>
  <conditionalFormatting sqref="I16">
    <cfRule type="expression" dxfId="181" priority="212">
      <formula>I$15&gt;0</formula>
    </cfRule>
  </conditionalFormatting>
  <conditionalFormatting sqref="G17">
    <cfRule type="expression" dxfId="180" priority="198">
      <formula>G$28&lt;&gt;"電力"</formula>
    </cfRule>
  </conditionalFormatting>
  <conditionalFormatting sqref="E17">
    <cfRule type="expression" dxfId="179" priority="199">
      <formula>E$28&lt;&gt;"電力"</formula>
    </cfRule>
  </conditionalFormatting>
  <conditionalFormatting sqref="K17">
    <cfRule type="expression" dxfId="178" priority="196">
      <formula>K$28&lt;&gt;"電力"</formula>
    </cfRule>
  </conditionalFormatting>
  <conditionalFormatting sqref="M17">
    <cfRule type="expression" dxfId="177" priority="195">
      <formula>M$28&lt;&gt;"電力"</formula>
    </cfRule>
  </conditionalFormatting>
  <conditionalFormatting sqref="Q17">
    <cfRule type="expression" dxfId="176" priority="193">
      <formula>Q$28&lt;&gt;"電力"</formula>
    </cfRule>
  </conditionalFormatting>
  <conditionalFormatting sqref="I15">
    <cfRule type="expression" dxfId="175" priority="189">
      <formula>I16&gt;0</formula>
    </cfRule>
  </conditionalFormatting>
  <conditionalFormatting sqref="K15">
    <cfRule type="expression" dxfId="174" priority="188">
      <formula>K16&gt;0</formula>
    </cfRule>
  </conditionalFormatting>
  <conditionalFormatting sqref="G18">
    <cfRule type="expression" dxfId="173" priority="185">
      <formula>G$28&lt;&gt;"電力"</formula>
    </cfRule>
  </conditionalFormatting>
  <conditionalFormatting sqref="E18">
    <cfRule type="expression" dxfId="172" priority="182">
      <formula>E$28&lt;&gt;"電力"</formula>
    </cfRule>
  </conditionalFormatting>
  <conditionalFormatting sqref="I18">
    <cfRule type="expression" dxfId="171" priority="181">
      <formula>I$28&lt;&gt;"電力"</formula>
    </cfRule>
  </conditionalFormatting>
  <conditionalFormatting sqref="K18">
    <cfRule type="expression" dxfId="170" priority="180">
      <formula>K$28&lt;&gt;"電力"</formula>
    </cfRule>
  </conditionalFormatting>
  <conditionalFormatting sqref="M18">
    <cfRule type="expression" dxfId="169" priority="179">
      <formula>M$28&lt;&gt;"電力"</formula>
    </cfRule>
  </conditionalFormatting>
  <conditionalFormatting sqref="I17">
    <cfRule type="expression" dxfId="168" priority="170">
      <formula>I$28&lt;&gt;"電力"</formula>
    </cfRule>
  </conditionalFormatting>
  <conditionalFormatting sqref="M15">
    <cfRule type="expression" dxfId="167" priority="169">
      <formula>M16&gt;0</formula>
    </cfRule>
  </conditionalFormatting>
  <conditionalFormatting sqref="O17">
    <cfRule type="expression" dxfId="166" priority="165">
      <formula>O$28&lt;&gt;"電力"</formula>
    </cfRule>
  </conditionalFormatting>
  <conditionalFormatting sqref="O18">
    <cfRule type="expression" dxfId="165" priority="163">
      <formula>O$28&lt;&gt;"電力"</formula>
    </cfRule>
  </conditionalFormatting>
  <conditionalFormatting sqref="Q18">
    <cfRule type="expression" dxfId="164" priority="155">
      <formula>Q$28&lt;&gt;"電力"</formula>
    </cfRule>
  </conditionalFormatting>
  <conditionalFormatting sqref="E23">
    <cfRule type="expression" dxfId="163" priority="151">
      <formula>E21&gt;0</formula>
    </cfRule>
  </conditionalFormatting>
  <conditionalFormatting sqref="G20">
    <cfRule type="expression" dxfId="162" priority="139">
      <formula>G22&gt;0</formula>
    </cfRule>
  </conditionalFormatting>
  <conditionalFormatting sqref="I20">
    <cfRule type="expression" dxfId="161" priority="138">
      <formula>I22&gt;0</formula>
    </cfRule>
  </conditionalFormatting>
  <conditionalFormatting sqref="K20">
    <cfRule type="expression" dxfId="160" priority="137">
      <formula>K22&gt;0</formula>
    </cfRule>
  </conditionalFormatting>
  <conditionalFormatting sqref="M20">
    <cfRule type="expression" dxfId="159" priority="136">
      <formula>M22&gt;0</formula>
    </cfRule>
  </conditionalFormatting>
  <conditionalFormatting sqref="O20">
    <cfRule type="expression" dxfId="158" priority="135">
      <formula>O22&gt;0</formula>
    </cfRule>
  </conditionalFormatting>
  <conditionalFormatting sqref="Q20">
    <cfRule type="expression" dxfId="157" priority="134">
      <formula>Q22&gt;0</formula>
    </cfRule>
  </conditionalFormatting>
  <conditionalFormatting sqref="U20">
    <cfRule type="expression" dxfId="156" priority="132">
      <formula>U22&gt;0</formula>
    </cfRule>
  </conditionalFormatting>
  <conditionalFormatting sqref="W20">
    <cfRule type="expression" dxfId="155" priority="131">
      <formula>W22&gt;0</formula>
    </cfRule>
  </conditionalFormatting>
  <conditionalFormatting sqref="G21">
    <cfRule type="expression" dxfId="154" priority="121">
      <formula>G23&gt;0</formula>
    </cfRule>
  </conditionalFormatting>
  <conditionalFormatting sqref="I21">
    <cfRule type="expression" dxfId="153" priority="120">
      <formula>I23&gt;0</formula>
    </cfRule>
  </conditionalFormatting>
  <conditionalFormatting sqref="K21">
    <cfRule type="expression" dxfId="152" priority="119">
      <formula>K23&gt;0</formula>
    </cfRule>
  </conditionalFormatting>
  <conditionalFormatting sqref="M21">
    <cfRule type="expression" dxfId="151" priority="118">
      <formula>M23&gt;0</formula>
    </cfRule>
  </conditionalFormatting>
  <conditionalFormatting sqref="O21">
    <cfRule type="expression" dxfId="150" priority="117">
      <formula>O23&gt;0</formula>
    </cfRule>
  </conditionalFormatting>
  <conditionalFormatting sqref="Q21">
    <cfRule type="expression" dxfId="149" priority="116">
      <formula>Q23&gt;0</formula>
    </cfRule>
  </conditionalFormatting>
  <conditionalFormatting sqref="S21">
    <cfRule type="expression" dxfId="148" priority="115">
      <formula>S23&gt;0</formula>
    </cfRule>
  </conditionalFormatting>
  <conditionalFormatting sqref="U21">
    <cfRule type="expression" dxfId="147" priority="114">
      <formula>U23&gt;0</formula>
    </cfRule>
  </conditionalFormatting>
  <conditionalFormatting sqref="W21">
    <cfRule type="expression" dxfId="146" priority="113">
      <formula>W23&gt;0</formula>
    </cfRule>
  </conditionalFormatting>
  <conditionalFormatting sqref="Q31">
    <cfRule type="expression" priority="111">
      <formula>$E$28="電力"</formula>
    </cfRule>
    <cfRule type="expression" dxfId="145" priority="112">
      <formula>Q$28&lt;&gt;"電力"</formula>
    </cfRule>
  </conditionalFormatting>
  <conditionalFormatting sqref="Q32">
    <cfRule type="expression" dxfId="144" priority="109">
      <formula>Q$28&lt;&gt;"電力"</formula>
    </cfRule>
    <cfRule type="expression" priority="110">
      <formula>Q$28="電力"</formula>
    </cfRule>
  </conditionalFormatting>
  <conditionalFormatting sqref="S15">
    <cfRule type="expression" dxfId="143" priority="108">
      <formula>S16&gt;0</formula>
    </cfRule>
  </conditionalFormatting>
  <conditionalFormatting sqref="S17">
    <cfRule type="expression" dxfId="142" priority="107">
      <formula>S$28&lt;&gt;"電力"</formula>
    </cfRule>
  </conditionalFormatting>
  <conditionalFormatting sqref="S18">
    <cfRule type="expression" dxfId="141" priority="106">
      <formula>S$28&lt;&gt;"電力"</formula>
    </cfRule>
  </conditionalFormatting>
  <conditionalFormatting sqref="S20">
    <cfRule type="expression" dxfId="140" priority="105">
      <formula>S22&gt;0</formula>
    </cfRule>
  </conditionalFormatting>
  <conditionalFormatting sqref="S31">
    <cfRule type="expression" priority="103">
      <formula>$E$28="電力"</formula>
    </cfRule>
    <cfRule type="expression" dxfId="139" priority="104">
      <formula>S$28&lt;&gt;"電力"</formula>
    </cfRule>
  </conditionalFormatting>
  <conditionalFormatting sqref="G33">
    <cfRule type="expression" priority="79">
      <formula>G$28="電力"</formula>
    </cfRule>
    <cfRule type="expression" dxfId="138" priority="80">
      <formula>G$28&lt;&gt;"電力"</formula>
    </cfRule>
    <cfRule type="expression" dxfId="137" priority="81">
      <formula>G31&gt;0</formula>
    </cfRule>
  </conditionalFormatting>
  <conditionalFormatting sqref="I33">
    <cfRule type="expression" priority="76">
      <formula>I$28="電力"</formula>
    </cfRule>
    <cfRule type="expression" dxfId="136" priority="77">
      <formula>I$28&lt;&gt;"電力"</formula>
    </cfRule>
    <cfRule type="expression" dxfId="135" priority="78">
      <formula>I31&gt;0</formula>
    </cfRule>
  </conditionalFormatting>
  <conditionalFormatting sqref="K33">
    <cfRule type="expression" priority="73">
      <formula>K$28="電力"</formula>
    </cfRule>
    <cfRule type="expression" dxfId="134" priority="74">
      <formula>K$28&lt;&gt;"電力"</formula>
    </cfRule>
    <cfRule type="expression" dxfId="133" priority="75">
      <formula>K31&gt;0</formula>
    </cfRule>
  </conditionalFormatting>
  <conditionalFormatting sqref="M33">
    <cfRule type="expression" priority="70">
      <formula>M$28="電力"</formula>
    </cfRule>
    <cfRule type="expression" dxfId="132" priority="71">
      <formula>M$28&lt;&gt;"電力"</formula>
    </cfRule>
    <cfRule type="expression" dxfId="131" priority="72">
      <formula>M31&gt;0</formula>
    </cfRule>
  </conditionalFormatting>
  <conditionalFormatting sqref="O33">
    <cfRule type="expression" priority="67">
      <formula>O$28="電力"</formula>
    </cfRule>
    <cfRule type="expression" dxfId="130" priority="68">
      <formula>O$28&lt;&gt;"電力"</formula>
    </cfRule>
    <cfRule type="expression" dxfId="129" priority="69">
      <formula>O31&gt;0</formula>
    </cfRule>
  </conditionalFormatting>
  <conditionalFormatting sqref="Q33">
    <cfRule type="expression" priority="61">
      <formula>Q$28="電力"</formula>
    </cfRule>
    <cfRule type="expression" dxfId="128" priority="62">
      <formula>Q$28&lt;&gt;"電力"</formula>
    </cfRule>
    <cfRule type="expression" dxfId="127" priority="63">
      <formula>Q31&gt;0</formula>
    </cfRule>
  </conditionalFormatting>
  <conditionalFormatting sqref="S33">
    <cfRule type="expression" priority="58">
      <formula>S$28="電力"</formula>
    </cfRule>
    <cfRule type="expression" dxfId="126" priority="59">
      <formula>S$28&lt;&gt;"電力"</formula>
    </cfRule>
    <cfRule type="expression" dxfId="125" priority="60">
      <formula>S31&gt;0</formula>
    </cfRule>
  </conditionalFormatting>
  <conditionalFormatting sqref="U33">
    <cfRule type="expression" priority="55">
      <formula>U$28="電力"</formula>
    </cfRule>
    <cfRule type="expression" dxfId="124" priority="56">
      <formula>U$28&lt;&gt;"電力"</formula>
    </cfRule>
    <cfRule type="expression" dxfId="123" priority="57">
      <formula>U31&gt;0</formula>
    </cfRule>
  </conditionalFormatting>
  <conditionalFormatting sqref="W33">
    <cfRule type="expression" priority="52">
      <formula>W$28="電力"</formula>
    </cfRule>
    <cfRule type="expression" dxfId="122" priority="53">
      <formula>W$28&lt;&gt;"電力"</formula>
    </cfRule>
    <cfRule type="expression" dxfId="121" priority="54">
      <formula>W31&gt;0</formula>
    </cfRule>
  </conditionalFormatting>
  <conditionalFormatting sqref="U32">
    <cfRule type="expression" dxfId="120" priority="50">
      <formula>U$28&lt;&gt;"電力"</formula>
    </cfRule>
    <cfRule type="expression" priority="51">
      <formula>U$28="電力"</formula>
    </cfRule>
  </conditionalFormatting>
  <conditionalFormatting sqref="U31">
    <cfRule type="expression" priority="48">
      <formula>$E$28="電力"</formula>
    </cfRule>
    <cfRule type="expression" dxfId="119" priority="49">
      <formula>U$28&lt;&gt;"電力"</formula>
    </cfRule>
  </conditionalFormatting>
  <conditionalFormatting sqref="W32">
    <cfRule type="expression" dxfId="118" priority="46">
      <formula>W$28&lt;&gt;"電力"</formula>
    </cfRule>
    <cfRule type="expression" priority="47">
      <formula>W$28="電力"</formula>
    </cfRule>
  </conditionalFormatting>
  <conditionalFormatting sqref="W31">
    <cfRule type="expression" priority="44">
      <formula>$E$28="電力"</formula>
    </cfRule>
    <cfRule type="expression" dxfId="117" priority="45">
      <formula>W$28&lt;&gt;"電力"</formula>
    </cfRule>
  </conditionalFormatting>
  <conditionalFormatting sqref="U15">
    <cfRule type="expression" dxfId="116" priority="39">
      <formula>U16&gt;0</formula>
    </cfRule>
  </conditionalFormatting>
  <conditionalFormatting sqref="W15">
    <cfRule type="expression" dxfId="115" priority="38">
      <formula>W16&gt;0</formula>
    </cfRule>
  </conditionalFormatting>
  <conditionalFormatting sqref="U17">
    <cfRule type="expression" dxfId="114" priority="37">
      <formula>U$28&lt;&gt;"電力"</formula>
    </cfRule>
  </conditionalFormatting>
  <conditionalFormatting sqref="W17">
    <cfRule type="expression" dxfId="113" priority="36">
      <formula>W$28&lt;&gt;"電力"</formula>
    </cfRule>
  </conditionalFormatting>
  <conditionalFormatting sqref="U18">
    <cfRule type="expression" dxfId="112" priority="35">
      <formula>U$28&lt;&gt;"電力"</formula>
    </cfRule>
  </conditionalFormatting>
  <conditionalFormatting sqref="W18">
    <cfRule type="expression" dxfId="111" priority="34">
      <formula>W$28&lt;&gt;"電力"</formula>
    </cfRule>
  </conditionalFormatting>
  <dataValidations count="30">
    <dataValidation allowBlank="1" showInputMessage="1" showErrorMessage="1" prompt="The discount rate is used to transform future costs into present value costs. Costs in the future are not &quot;worth&quot; as much as those incurred today._x000a__x000a_If you are unsure which discount rate to use, we recommend a standard European rate of 2 percent." sqref="B7"/>
    <dataValidation allowBlank="1" showInputMessage="1" showErrorMessage="1" prompt="Lease: length of contract in years_x000a__x000a_Purchase: number of expected years of ownership" sqref="B6"/>
    <dataValidation allowBlank="1" showInputMessage="1" showErrorMessage="1" prompt="How many different bids/vehicles are you comparing?" sqref="B8:B9"/>
    <dataValidation type="custom" allowBlank="1" showInputMessage="1" showErrorMessage="1" errorTitle="Too many inputs" error="Please choose either purchase or lease price" prompt="Please choose either a one off purchase price per vehicle in this row or an annual lease price per vehicle in the row below." sqref="B15">
      <formula1>B16=""</formula1>
    </dataValidation>
    <dataValidation allowBlank="1" showInputMessage="1" showErrorMessage="1" prompt="Enter the amount you expect the vehicle to be worth in sales, parts or scrap at the end of your usage._x000a__x000a_This amount will be subtracted from the total so please keep it in positive figures." sqref="B64"/>
    <dataValidation allowBlank="1" showInputMessage="1" showErrorMessage="1" prompt="Make sure you include spare parts" sqref="B37:B39"/>
    <dataValidation allowBlank="1" showInputMessage="1" showErrorMessage="1" prompt="Annual fixed cost for servicing vehicle if applicable" sqref="B40"/>
    <dataValidation allowBlank="1" showInputMessage="1" showErrorMessage="1" prompt="Bear in mind that clean vehicles often have a discounted tax rate." sqref="B44:B45"/>
    <dataValidation allowBlank="1" showInputMessage="1" showErrorMessage="1" prompt="For example, additional gas filling stations or electric charge points needed to service the new vehicles." sqref="B20"/>
    <dataValidation allowBlank="1" showInputMessage="1" showErrorMessage="1" prompt="Click on the + button to the left for options to include associated costs (such as higher parking rates for standard cars) and subsidies (such as grants for purchasing clean vehicles)." sqref="B49"/>
    <dataValidation allowBlank="1" showInputMessage="1" showErrorMessage="1" prompt="If you are unsure of the annual use expected, average annual consumption for cars and buses is:_x000a__x000a_Cars: 20.000 km_x000a_Buses: 80.000km" sqref="B27"/>
    <dataValidation allowBlank="1" showInputMessage="1" showErrorMessage="1" prompt="How many of these vehicles do you intend to lease/purchase?" sqref="B14"/>
    <dataValidation allowBlank="1" showInputMessage="1" showErrorMessage="1" prompt="Please choose a fuel type from the dropdown list. If you are assessing a dual fuel or plug-in hybrid vehicle, there is an option to choose a second fuel type below._x000a__x000a_HYBRID: choose the fuel used in the combustion engine." sqref="B28"/>
    <dataValidation allowBlank="1" showInputMessage="1" showErrorMessage="1" prompt="Please enter fuel consumption as detailed in the certificate of conformity (CoC)._x000a__x000a_Converter:_x000a_http://hiq.linde-gas.com/en/specialty_gases/gas_units_converter.html" sqref="B29"/>
    <dataValidation type="custom" allowBlank="1" showInputMessage="1" showErrorMessage="1" errorTitle="重複值" error="輸入值過多，請選擇&quot;購買&quot;或&quot;租賃&quot;。" sqref="W16 E16:E17 S16 G16 Q16 I16:I17 O16 M18 U16 M16 K16">
      <formula1>E15=""</formula1>
    </dataValidation>
    <dataValidation type="custom" allowBlank="1" showInputMessage="1" showErrorMessage="1" errorTitle="重複值" error="輸入值過多，請選擇&quot;購買&quot;或&quot;租賃&quot;。" sqref="E15 G15 I15 K15 M15 O15 Q15 U15 S15 W15">
      <formula1>E16=""</formula1>
    </dataValidation>
    <dataValidation type="custom" allowBlank="1" showInputMessage="1" showErrorMessage="1" errorTitle="重複值" error="輸入值過多，請選擇&quot;購買&quot;或&quot;租賃&quot;。" sqref="W22:W23 O22:O23 Q22:Q23 S22:S23 U22:U23 G22:G23 I22:I23 K22:K23 M22:M23 E22:E23">
      <formula1>E20=""</formula1>
    </dataValidation>
    <dataValidation type="custom" allowBlank="1" showInputMessage="1" showErrorMessage="1" sqref="E31 G31 Q31 S31 U31 I31 K31 M31 O31 W31">
      <formula1>E28="電力"</formula1>
    </dataValidation>
    <dataValidation type="whole" allowBlank="1" showInputMessage="1" showErrorMessage="1" sqref="E8">
      <formula1>1</formula1>
      <formula2>10</formula2>
    </dataValidation>
    <dataValidation type="whole" allowBlank="1" showInputMessage="1" showErrorMessage="1" sqref="E9">
      <formula1>2019</formula1>
      <formula2>2040</formula2>
    </dataValidation>
    <dataValidation allowBlank="1" showInputMessage="1" showErrorMessage="1" errorTitle="重複值" error="輸入值過多，請選擇&quot;購買&quot;或&quot;租賃&quot;。" sqref="K18 O18 Q18 U18 S18 W18 E39:E40 M39:M40 O39:O40 Q39:Q40 S39:S40 U39:U40 G39:G40 I39:I40 K39:K40 W39:W40"/>
    <dataValidation type="whole" allowBlank="1" showInputMessage="1" showErrorMessage="1" sqref="E6">
      <formula1>1</formula1>
      <formula2>20</formula2>
    </dataValidation>
    <dataValidation allowBlank="1" showInputMessage="1" showErrorMessage="1" promptTitle="計算值，請勿輸入" sqref="E19 U19 G19 I19 K19 M19 O19 Q19 S19 W19"/>
    <dataValidation type="custom" allowBlank="1" showInputMessage="1" showErrorMessage="1" sqref="E32 G32 I32 K32 M32 O32 U32 S32 Q32 W32">
      <formula1>E28="電力"</formula1>
    </dataValidation>
    <dataValidation type="custom" allowBlank="1" showInputMessage="1" showErrorMessage="1" errorTitle="重複值" error="輸入值過多，請選擇&quot;購買&quot;或&quot;租賃&quot;。" sqref="E33 G33 Q33 U33 I33 K33 M33 O33 S33 W33">
      <formula1>AND(E28="電力",E31="")</formula1>
    </dataValidation>
    <dataValidation type="custom" allowBlank="1" showInputMessage="1" showErrorMessage="1" errorTitle="重複值" error="輸入值過多，請選擇&quot;購買&quot;或&quot;租賃&quot;。" sqref="G17 U17 K17 M17 O17 Q17 S17 W17">
      <formula1>G28="電力"</formula1>
    </dataValidation>
    <dataValidation type="custom" allowBlank="1" showInputMessage="1" showErrorMessage="1" errorTitle="重複值" error="輸入值過多，請選擇&quot;購買&quot;或&quot;租賃&quot;。" sqref="G18 I18">
      <formula1>G28="電力"</formula1>
    </dataValidation>
    <dataValidation type="custom" allowBlank="1" showInputMessage="1" showErrorMessage="1" errorTitle="重複值" error="輸入值過多，請選擇&quot;購買&quot;或&quot;租賃&quot;。" sqref="E18">
      <formula1>E$28="電力"</formula1>
    </dataValidation>
    <dataValidation type="custom" allowBlank="1" showInputMessage="1" showErrorMessage="1" errorTitle="重複值" error="輸入值過多，請選擇&quot;購買&quot;或&quot;租賃&quot;。" sqref="G20:G21 I20:I21 K20:K21 M20:M21 O20:O21 Q20:Q21 E20:E21 U20:U21 W20:W21 S20:S21">
      <formula1>E22=""</formula1>
    </dataValidation>
    <dataValidation type="decimal" allowBlank="1" showInputMessage="1" showErrorMessage="1" errorTitle="重複值" error="請選擇&quot;每年預期保養成本&quot;、或&quot;每年保養服務合約費用&quot;之一。" sqref="U37 E37 W37 G37 I37 M37 O37 Q37 S37 K37">
      <formula1>0</formula1>
      <formula2>10</formula2>
    </dataValidation>
  </dataValidations>
  <pageMargins left="0.7" right="0.7" top="0.75" bottom="0.75" header="0.3" footer="0.3"/>
  <pageSetup paperSize="9" scale="35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'計算過程(勿更動)'!$B$12:$B$14</xm:f>
          </x14:formula1>
          <xm:sqref>E28 G28 I28 K28 M28 O28 Q28 S28 U28 W28</xm:sqref>
        </x14:dataValidation>
        <x14:dataValidation type="list" allowBlank="1" showInputMessage="1" showErrorMessage="1">
          <x14:formula1>
            <xm:f>'計算過程(勿更動)'!$G$17:$P$17</xm:f>
          </x14:formula1>
          <xm:sqref>E71</xm:sqref>
        </x14:dataValidation>
        <x14:dataValidation type="list" allowBlank="1" showInputMessage="1" showErrorMessage="1" errorTitle="超出定義範圍" error="請選擇&quot;外購&quot;、或&quot;自行保養&quot;之一。">
          <x14:formula1>
            <xm:f>'計算過程(勿更動)'!$B$55:$B$56</xm:f>
          </x14:formula1>
          <xm:sqref>E38 U38 G38 I38 K38 M38 O38 Q38 S38 W38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2:R24"/>
  <sheetViews>
    <sheetView topLeftCell="B1" zoomScale="70" zoomScaleNormal="70" workbookViewId="0">
      <selection activeCell="B7" sqref="B7:K13"/>
    </sheetView>
  </sheetViews>
  <sheetFormatPr defaultRowHeight="16.5"/>
  <cols>
    <col min="1" max="1" width="25" bestFit="1" customWidth="1"/>
    <col min="2" max="2" width="10.5" customWidth="1"/>
    <col min="3" max="4" width="12.5" customWidth="1"/>
    <col min="5" max="5" width="11.875" bestFit="1" customWidth="1"/>
  </cols>
  <sheetData>
    <row r="2" spans="1:18">
      <c r="A2" s="143" t="s">
        <v>163</v>
      </c>
      <c r="B2" s="143"/>
      <c r="C2" s="143"/>
    </row>
    <row r="3" spans="1:18">
      <c r="A3" s="148" t="s">
        <v>136</v>
      </c>
      <c r="B3" s="148" t="s">
        <v>138</v>
      </c>
      <c r="C3" s="74">
        <f>LCC總表!E9</f>
        <v>2019</v>
      </c>
    </row>
    <row r="4" spans="1:18">
      <c r="A4" s="148" t="s">
        <v>142</v>
      </c>
      <c r="B4" s="148" t="s">
        <v>5</v>
      </c>
      <c r="C4" s="74">
        <f>LCC總表!E6</f>
        <v>8</v>
      </c>
    </row>
    <row r="5" spans="1:18">
      <c r="A5" s="148" t="s">
        <v>3</v>
      </c>
      <c r="B5" s="148" t="s">
        <v>147</v>
      </c>
      <c r="C5" s="144">
        <v>2.5000000000000001E-2</v>
      </c>
      <c r="D5" s="71"/>
    </row>
    <row r="6" spans="1:18">
      <c r="A6" s="203"/>
      <c r="B6" s="203"/>
      <c r="C6" s="204"/>
      <c r="D6" s="71"/>
    </row>
    <row r="7" spans="1:18">
      <c r="A7" s="143" t="s">
        <v>165</v>
      </c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</row>
    <row r="8" spans="1:18">
      <c r="A8" s="148" t="s">
        <v>164</v>
      </c>
      <c r="B8" s="148"/>
      <c r="C8" s="155" t="s">
        <v>140</v>
      </c>
      <c r="D8" s="155" t="s">
        <v>146</v>
      </c>
      <c r="E8" s="155">
        <v>1</v>
      </c>
      <c r="F8" s="155">
        <v>2</v>
      </c>
      <c r="G8" s="155">
        <v>3</v>
      </c>
      <c r="H8" s="155">
        <v>4</v>
      </c>
      <c r="I8" s="155">
        <v>5</v>
      </c>
      <c r="J8" s="155">
        <v>6</v>
      </c>
      <c r="K8" s="155">
        <v>7</v>
      </c>
      <c r="L8" s="155">
        <v>8</v>
      </c>
      <c r="M8" s="155">
        <v>9</v>
      </c>
      <c r="N8" s="155">
        <v>10</v>
      </c>
      <c r="O8" s="155">
        <v>11</v>
      </c>
      <c r="P8" s="155">
        <v>12</v>
      </c>
      <c r="Q8" s="155">
        <v>13</v>
      </c>
      <c r="R8" s="155">
        <v>14</v>
      </c>
    </row>
    <row r="9" spans="1:18">
      <c r="A9" s="148" t="s">
        <v>144</v>
      </c>
      <c r="B9" s="148"/>
      <c r="C9" s="146"/>
      <c r="D9" s="146"/>
      <c r="E9" s="74">
        <f t="shared" ref="E9:R9" si="0">$C$3+E8-1</f>
        <v>2019</v>
      </c>
      <c r="F9" s="74">
        <f t="shared" si="0"/>
        <v>2020</v>
      </c>
      <c r="G9" s="74">
        <f t="shared" si="0"/>
        <v>2021</v>
      </c>
      <c r="H9" s="74">
        <f t="shared" si="0"/>
        <v>2022</v>
      </c>
      <c r="I9" s="74">
        <f t="shared" si="0"/>
        <v>2023</v>
      </c>
      <c r="J9" s="74">
        <f t="shared" si="0"/>
        <v>2024</v>
      </c>
      <c r="K9" s="74">
        <f t="shared" si="0"/>
        <v>2025</v>
      </c>
      <c r="L9" s="74">
        <f t="shared" si="0"/>
        <v>2026</v>
      </c>
      <c r="M9" s="74">
        <f t="shared" si="0"/>
        <v>2027</v>
      </c>
      <c r="N9" s="74">
        <f t="shared" si="0"/>
        <v>2028</v>
      </c>
      <c r="O9" s="74">
        <f t="shared" si="0"/>
        <v>2029</v>
      </c>
      <c r="P9" s="74">
        <f t="shared" si="0"/>
        <v>2030</v>
      </c>
      <c r="Q9" s="74">
        <f t="shared" si="0"/>
        <v>2031</v>
      </c>
      <c r="R9" s="74">
        <f t="shared" si="0"/>
        <v>2032</v>
      </c>
    </row>
    <row r="10" spans="1:18">
      <c r="A10" s="148" t="s">
        <v>145</v>
      </c>
      <c r="B10" s="148"/>
      <c r="C10" s="146"/>
      <c r="D10" s="146"/>
      <c r="E10" s="171">
        <v>0.7</v>
      </c>
      <c r="F10" s="171">
        <v>0.1</v>
      </c>
      <c r="G10" s="171">
        <v>0.1</v>
      </c>
      <c r="H10" s="171">
        <v>0.1</v>
      </c>
      <c r="I10" s="171">
        <v>0</v>
      </c>
      <c r="J10" s="171">
        <v>0</v>
      </c>
      <c r="K10" s="171">
        <v>0</v>
      </c>
      <c r="L10" s="171">
        <v>0</v>
      </c>
      <c r="M10" s="171">
        <v>0</v>
      </c>
      <c r="N10" s="171">
        <v>0</v>
      </c>
      <c r="O10" s="171">
        <v>0</v>
      </c>
      <c r="P10" s="171">
        <v>0</v>
      </c>
      <c r="Q10" s="171">
        <v>0</v>
      </c>
      <c r="R10" s="171">
        <v>0</v>
      </c>
    </row>
    <row r="11" spans="1:18">
      <c r="A11" s="148" t="s">
        <v>139</v>
      </c>
      <c r="B11" s="148" t="s">
        <v>137</v>
      </c>
      <c r="C11" s="172">
        <v>3338000</v>
      </c>
      <c r="D11" s="147">
        <f>NPV($C$5,E11:R11)</f>
        <v>3209698.2101458693</v>
      </c>
      <c r="E11" s="145">
        <f>$C$11*E10</f>
        <v>2336600</v>
      </c>
      <c r="F11" s="145">
        <f t="shared" ref="F11:R11" si="1">$C$11*F10</f>
        <v>333800</v>
      </c>
      <c r="G11" s="145">
        <f t="shared" si="1"/>
        <v>333800</v>
      </c>
      <c r="H11" s="145">
        <f t="shared" si="1"/>
        <v>333800</v>
      </c>
      <c r="I11" s="145">
        <f t="shared" si="1"/>
        <v>0</v>
      </c>
      <c r="J11" s="145">
        <f t="shared" si="1"/>
        <v>0</v>
      </c>
      <c r="K11" s="145">
        <f t="shared" si="1"/>
        <v>0</v>
      </c>
      <c r="L11" s="145">
        <f t="shared" si="1"/>
        <v>0</v>
      </c>
      <c r="M11" s="145">
        <f t="shared" si="1"/>
        <v>0</v>
      </c>
      <c r="N11" s="145">
        <f t="shared" si="1"/>
        <v>0</v>
      </c>
      <c r="O11" s="145">
        <f t="shared" si="1"/>
        <v>0</v>
      </c>
      <c r="P11" s="145">
        <f t="shared" si="1"/>
        <v>0</v>
      </c>
      <c r="Q11" s="145">
        <f t="shared" si="1"/>
        <v>0</v>
      </c>
      <c r="R11" s="145">
        <f t="shared" si="1"/>
        <v>0</v>
      </c>
    </row>
    <row r="12" spans="1:18">
      <c r="A12" s="148" t="s">
        <v>148</v>
      </c>
      <c r="B12" s="148" t="s">
        <v>149</v>
      </c>
      <c r="C12" s="172">
        <v>5</v>
      </c>
      <c r="D12" s="56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18">
      <c r="A13" s="148" t="s">
        <v>141</v>
      </c>
      <c r="B13" s="148" t="s">
        <v>137</v>
      </c>
      <c r="C13" s="172">
        <f>SUM(E13:R13)</f>
        <v>1458345</v>
      </c>
      <c r="D13" s="147">
        <f>NPV(C5,E13:R13)</f>
        <v>1322800.2899558377</v>
      </c>
      <c r="E13" s="145">
        <f>IF($C$4&gt;E8,LCC總表!$E$27*$C$12,0)</f>
        <v>208335</v>
      </c>
      <c r="F13" s="145">
        <f>IF($C$4&gt;F8,LCC總表!$E$27*$C$12,0)</f>
        <v>208335</v>
      </c>
      <c r="G13" s="145">
        <f>IF($C$4&gt;G8,LCC總表!$E$27*$C$12,0)</f>
        <v>208335</v>
      </c>
      <c r="H13" s="145">
        <f>IF($C$4&gt;H8,LCC總表!$E$27*$C$12,0)</f>
        <v>208335</v>
      </c>
      <c r="I13" s="145">
        <f>IF($C$4&gt;I8,LCC總表!$E$27*$C$12,0)</f>
        <v>208335</v>
      </c>
      <c r="J13" s="145">
        <f>IF($C$4&gt;J8,LCC總表!$E$27*$C$12,0)</f>
        <v>208335</v>
      </c>
      <c r="K13" s="145">
        <f>IF($C$4&gt;K8,LCC總表!$E$27*$C$12,0)</f>
        <v>208335</v>
      </c>
      <c r="L13" s="145">
        <f>IF($C$4&gt;L8,LCC總表!$E$27*$C$12,0)</f>
        <v>0</v>
      </c>
      <c r="M13" s="145">
        <f>IF($C$4&gt;M8,LCC總表!$E$27*$C$12,0)</f>
        <v>0</v>
      </c>
      <c r="N13" s="145">
        <f>IF($C$4&gt;N8,LCC總表!$E$27*$C$12,0)</f>
        <v>0</v>
      </c>
      <c r="O13" s="145">
        <f>IF($C$4&gt;O8,LCC總表!$E$27*$C$12,0)</f>
        <v>0</v>
      </c>
      <c r="P13" s="145">
        <f>IF($C$4&gt;P8,LCC總表!$E$27*$C$12,0)</f>
        <v>0</v>
      </c>
      <c r="Q13" s="145">
        <f>IF($C$4&gt;Q8,LCC總表!$E$27*$C$12,0)</f>
        <v>0</v>
      </c>
      <c r="R13" s="145">
        <f>IF($C$4&gt;R8,LCC總表!$E$27*$C$12,0)</f>
        <v>0</v>
      </c>
    </row>
    <row r="15" spans="1:18">
      <c r="C15" s="56"/>
      <c r="D15" s="56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7" spans="1:18">
      <c r="A17" t="s">
        <v>143</v>
      </c>
      <c r="C17" s="73">
        <f>SUM(E17:R17)</f>
        <v>0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1:18">
      <c r="C18" s="65"/>
      <c r="D18" s="65"/>
    </row>
    <row r="21" spans="1:18">
      <c r="A21" t="s">
        <v>169</v>
      </c>
      <c r="B21" t="s">
        <v>170</v>
      </c>
    </row>
    <row r="22" spans="1:18">
      <c r="B22" t="s">
        <v>171</v>
      </c>
    </row>
    <row r="24" spans="1:18">
      <c r="J24" t="s">
        <v>246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"/>
  <sheetViews>
    <sheetView zoomScaleNormal="100" workbookViewId="0">
      <selection activeCell="K16" sqref="K16"/>
    </sheetView>
  </sheetViews>
  <sheetFormatPr defaultRowHeight="16.5"/>
  <sheetData/>
  <sheetProtection selectLockedCells="1"/>
  <phoneticPr fontId="3" type="noConversion"/>
  <pageMargins left="0.7" right="0.7" top="0.75" bottom="0.75" header="0.3" footer="0.3"/>
  <pageSetup paperSize="9" scale="7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BK97"/>
  <sheetViews>
    <sheetView zoomScale="55" zoomScaleNormal="55" workbookViewId="0">
      <selection activeCell="S3" sqref="S3:AJ15"/>
    </sheetView>
  </sheetViews>
  <sheetFormatPr defaultRowHeight="16.5"/>
  <cols>
    <col min="2" max="2" width="10.5" bestFit="1" customWidth="1"/>
    <col min="3" max="3" width="18.875" customWidth="1"/>
    <col min="4" max="7" width="9" customWidth="1"/>
    <col min="8" max="8" width="12.625" bestFit="1" customWidth="1"/>
    <col min="9" max="15" width="9" customWidth="1"/>
    <col min="39" max="39" width="8.625" bestFit="1" customWidth="1"/>
    <col min="40" max="48" width="11.375" bestFit="1" customWidth="1"/>
    <col min="49" max="49" width="13.25" bestFit="1" customWidth="1"/>
    <col min="50" max="56" width="11.375" bestFit="1" customWidth="1"/>
    <col min="57" max="57" width="13.25" bestFit="1" customWidth="1"/>
    <col min="58" max="62" width="11.375" bestFit="1" customWidth="1"/>
    <col min="63" max="63" width="27.5" bestFit="1" customWidth="1"/>
  </cols>
  <sheetData>
    <row r="1" spans="1:63" ht="80.25">
      <c r="A1" s="32" t="s">
        <v>55</v>
      </c>
      <c r="B1" s="149" t="s">
        <v>166</v>
      </c>
      <c r="C1" s="1" t="s">
        <v>61</v>
      </c>
      <c r="F1" s="2"/>
      <c r="G1" s="4"/>
      <c r="H1" s="3"/>
      <c r="I1" s="5"/>
      <c r="J1" s="2"/>
      <c r="K1" s="2"/>
      <c r="L1" s="2"/>
      <c r="M1" s="2"/>
      <c r="N1" s="2"/>
    </row>
    <row r="2" spans="1:63">
      <c r="A2" s="6"/>
      <c r="B2" s="7"/>
      <c r="C2" s="1"/>
      <c r="E2" s="8"/>
      <c r="F2" s="2"/>
      <c r="G2" s="9" t="s">
        <v>84</v>
      </c>
      <c r="H2" s="2"/>
      <c r="I2" s="9" t="s">
        <v>58</v>
      </c>
      <c r="J2" s="2"/>
      <c r="K2" s="2"/>
      <c r="L2" s="2"/>
      <c r="M2" s="2"/>
      <c r="N2" s="9" t="s">
        <v>59</v>
      </c>
      <c r="P2" s="9" t="s">
        <v>60</v>
      </c>
      <c r="Q2" s="9" t="s">
        <v>123</v>
      </c>
      <c r="R2" s="9" t="s">
        <v>124</v>
      </c>
      <c r="S2" s="9" t="s">
        <v>125</v>
      </c>
      <c r="T2" s="9" t="s">
        <v>126</v>
      </c>
      <c r="U2" s="9" t="s">
        <v>127</v>
      </c>
      <c r="V2" s="9" t="s">
        <v>128</v>
      </c>
      <c r="W2" s="9" t="s">
        <v>129</v>
      </c>
      <c r="X2" s="9" t="s">
        <v>130</v>
      </c>
    </row>
    <row r="3" spans="1:63" ht="17.25" thickBot="1">
      <c r="A3" s="10"/>
      <c r="B3" s="10"/>
      <c r="C3" s="11"/>
      <c r="D3" s="12">
        <v>2018</v>
      </c>
      <c r="E3" s="12">
        <v>2019</v>
      </c>
      <c r="F3" s="12">
        <v>2020</v>
      </c>
      <c r="G3" s="12">
        <v>2021</v>
      </c>
      <c r="H3" s="12">
        <v>2022</v>
      </c>
      <c r="I3" s="13">
        <v>2023</v>
      </c>
      <c r="J3" s="12">
        <v>2024</v>
      </c>
      <c r="K3" s="12">
        <v>2025</v>
      </c>
      <c r="L3" s="12">
        <v>2026</v>
      </c>
      <c r="M3" s="12">
        <v>2027</v>
      </c>
      <c r="N3" s="13">
        <v>2028</v>
      </c>
      <c r="O3" s="12">
        <v>2029</v>
      </c>
      <c r="P3" s="13">
        <v>2030</v>
      </c>
      <c r="Q3" s="12">
        <v>2031</v>
      </c>
      <c r="R3" s="12">
        <v>2032</v>
      </c>
      <c r="S3" s="12">
        <v>2033</v>
      </c>
      <c r="T3" s="12">
        <v>2034</v>
      </c>
      <c r="U3" s="12">
        <v>2035</v>
      </c>
      <c r="V3" s="12">
        <v>2036</v>
      </c>
      <c r="W3" s="12">
        <v>2037</v>
      </c>
      <c r="X3" s="12">
        <v>2038</v>
      </c>
      <c r="Y3" s="12">
        <v>2039</v>
      </c>
      <c r="Z3" s="12">
        <v>2040</v>
      </c>
      <c r="AA3" s="12">
        <v>2041</v>
      </c>
      <c r="AB3" s="12">
        <v>2042</v>
      </c>
      <c r="AC3" s="12">
        <v>2043</v>
      </c>
      <c r="AD3" s="12">
        <v>2044</v>
      </c>
      <c r="AE3" s="12">
        <v>2045</v>
      </c>
      <c r="AF3" s="12">
        <v>2046</v>
      </c>
      <c r="AG3" s="12">
        <v>2047</v>
      </c>
      <c r="AH3" s="12">
        <v>2048</v>
      </c>
      <c r="AI3" s="12">
        <v>2049</v>
      </c>
      <c r="AJ3" s="12">
        <v>2050</v>
      </c>
      <c r="AM3" s="53" t="s">
        <v>50</v>
      </c>
      <c r="AN3" s="51">
        <v>2018</v>
      </c>
      <c r="AO3" s="51">
        <v>2019</v>
      </c>
      <c r="AP3" s="51">
        <v>2020</v>
      </c>
      <c r="AQ3" s="51">
        <v>2021</v>
      </c>
      <c r="AR3" s="51">
        <v>2022</v>
      </c>
      <c r="AS3" s="51">
        <v>2023</v>
      </c>
      <c r="AT3" s="51">
        <v>2024</v>
      </c>
      <c r="AU3" s="51">
        <v>2025</v>
      </c>
      <c r="AV3" s="51">
        <v>2026</v>
      </c>
      <c r="AW3" s="51">
        <v>2027</v>
      </c>
      <c r="AX3" s="51">
        <v>2028</v>
      </c>
      <c r="AY3" s="51">
        <v>2029</v>
      </c>
      <c r="AZ3" s="51">
        <v>2030</v>
      </c>
      <c r="BA3" s="51">
        <v>2031</v>
      </c>
      <c r="BB3" s="51">
        <v>2032</v>
      </c>
      <c r="BC3" s="51">
        <v>2033</v>
      </c>
      <c r="BD3" s="51">
        <v>2034</v>
      </c>
      <c r="BE3" s="51">
        <v>2035</v>
      </c>
      <c r="BF3" s="51">
        <v>2036</v>
      </c>
      <c r="BG3" s="51">
        <v>2037</v>
      </c>
      <c r="BH3" s="51">
        <v>2038</v>
      </c>
      <c r="BI3" s="51">
        <v>2039</v>
      </c>
      <c r="BJ3" s="51">
        <v>2040</v>
      </c>
      <c r="BK3" s="66" t="s">
        <v>116</v>
      </c>
    </row>
    <row r="4" spans="1:63" ht="17.25" thickTop="1">
      <c r="A4" s="33" t="s">
        <v>50</v>
      </c>
      <c r="B4" s="31" t="s">
        <v>56</v>
      </c>
      <c r="C4" s="35" t="s">
        <v>62</v>
      </c>
      <c r="D4" s="16">
        <v>24.526931999999999</v>
      </c>
      <c r="E4" s="17">
        <v>24.231915999999998</v>
      </c>
      <c r="F4" s="17">
        <v>26.102266</v>
      </c>
      <c r="G4" s="17">
        <v>26.475501999999999</v>
      </c>
      <c r="H4" s="17">
        <v>26.584247999999999</v>
      </c>
      <c r="I4" s="18">
        <v>27.195015000000001</v>
      </c>
      <c r="J4" s="17">
        <v>28.017040000000001</v>
      </c>
      <c r="K4" s="17">
        <v>28.414967000000001</v>
      </c>
      <c r="L4" s="17">
        <v>28.617846</v>
      </c>
      <c r="M4" s="17">
        <v>29.269390000000001</v>
      </c>
      <c r="N4" s="19">
        <v>29.559394999999999</v>
      </c>
      <c r="O4" s="17">
        <v>32.911754999999999</v>
      </c>
      <c r="P4" s="19">
        <v>33.069397000000002</v>
      </c>
      <c r="Q4" s="17">
        <v>33.758811999999999</v>
      </c>
      <c r="R4" s="17">
        <v>34.081313999999999</v>
      </c>
      <c r="S4" s="17">
        <v>34.298698000000002</v>
      </c>
      <c r="T4" s="17">
        <v>34.384399000000002</v>
      </c>
      <c r="U4" s="17">
        <v>34.685329000000003</v>
      </c>
      <c r="V4" s="17">
        <v>34.961567000000002</v>
      </c>
      <c r="W4" s="17">
        <v>34.925243000000002</v>
      </c>
      <c r="X4" s="17">
        <v>35.105282000000003</v>
      </c>
      <c r="Y4" s="17">
        <v>35.253849000000002</v>
      </c>
      <c r="Z4" s="17">
        <v>35.357418000000003</v>
      </c>
      <c r="AA4" s="17">
        <v>35.354968999999997</v>
      </c>
      <c r="AB4" s="17">
        <v>35.554115000000003</v>
      </c>
      <c r="AC4" s="17">
        <v>35.549370000000003</v>
      </c>
      <c r="AD4" s="17">
        <v>35.448737999999999</v>
      </c>
      <c r="AE4" s="17">
        <v>35.456004999999998</v>
      </c>
      <c r="AF4" s="17">
        <v>35.339480999999999</v>
      </c>
      <c r="AG4" s="17">
        <v>35.199233999999997</v>
      </c>
      <c r="AH4" s="17">
        <v>35.245117</v>
      </c>
      <c r="AI4" s="17">
        <v>35.185997</v>
      </c>
      <c r="AJ4" s="17">
        <v>35.176991000000001</v>
      </c>
      <c r="AM4" s="52" t="s">
        <v>97</v>
      </c>
      <c r="AN4" s="55">
        <f>IF(AN$3&gt;=LCC總表!$E$9,((LCC總表!$E$27*(LCC總表!$E$29/100))*LCC總表!$E$30),0)</f>
        <v>0</v>
      </c>
      <c r="AO4" s="55">
        <f>IF(AO3&gt;=LCC總表!$E$9,(((LCC總表!$E$27*(LCC總表!$E$29/100))*(LCC總表!$E$30*(1+E$6)))),0)</f>
        <v>101421.6447</v>
      </c>
      <c r="AP4" s="55">
        <f>((LCC總表!$E$27*(LCC總表!$E$29/100))*(LCC總表!$E$30*(1+F6)))</f>
        <v>109249.91437395585</v>
      </c>
      <c r="AQ4" s="55">
        <f>((LCC總表!$E$27*(LCC總表!$E$29/100))*(LCC總表!$E$30*(1+G6)))</f>
        <v>110700.14129989588</v>
      </c>
      <c r="AR4" s="55">
        <f>((LCC總表!$E$27*(LCC總表!$E$29/100))*(LCC總表!$E$30*(1+H6)))</f>
        <v>111116.72256715743</v>
      </c>
      <c r="AS4" s="55">
        <f>((LCC總表!$E$27*(LCC總表!$E$29/100))*(LCC總表!$E$30*(1+I6)))</f>
        <v>113446.86159040479</v>
      </c>
      <c r="AT4" s="55">
        <f>((LCC總表!$E$27*(LCC總表!$E$29/100))*(LCC總表!$E$30*(1+J6)))</f>
        <v>116512.53842435827</v>
      </c>
      <c r="AU4" s="55">
        <f>((LCC總表!$E$27*(LCC總表!$E$29/100))*(LCC總表!$E$30*(1+K6)))</f>
        <v>117953.03359481657</v>
      </c>
      <c r="AV4" s="55">
        <f>((LCC總表!$E$27*(LCC總表!$E$29/100))*(LCC總表!$E$30*(1+L6)))</f>
        <v>118677.17034482904</v>
      </c>
      <c r="AW4" s="55">
        <f>((LCC總表!$E$27*(LCC總表!$E$29/100))*(LCC總表!$E$30*(1+M6)))</f>
        <v>120986.24224613204</v>
      </c>
      <c r="AX4" s="55">
        <f>((LCC總表!$E$27*(LCC總表!$E$29/100))*(LCC總表!$E$30*(1+N6)))</f>
        <v>121991.14135988956</v>
      </c>
      <c r="AY4" s="55">
        <f>((LCC總表!$E$27*(LCC總表!$E$29/100))*(LCC總表!$E$30*(1+O6)))</f>
        <v>133493.46963238946</v>
      </c>
      <c r="AZ4" s="55">
        <f>((LCC總表!$E$27*(LCC總表!$E$29/100))*(LCC總表!$E$30*(1+P6)))</f>
        <v>133979.26295802029</v>
      </c>
      <c r="BA4" s="55">
        <f>((LCC總表!$E$27*(LCC總表!$E$29/100))*(LCC總表!$E$30*(1+Q6)))</f>
        <v>136093.65298396634</v>
      </c>
      <c r="BB4" s="55">
        <f>((LCC總表!$E$27*(LCC總表!$E$29/100))*(LCC總表!$E$30*(1+R6)))</f>
        <v>137062.54618017952</v>
      </c>
      <c r="BC4" s="55">
        <f>((LCC總表!$E$27*(LCC總表!$E$29/100))*(LCC總表!$E$30*(1+S6)))</f>
        <v>137709.45324519073</v>
      </c>
      <c r="BD4" s="55">
        <f>((LCC總表!$E$27*(LCC總表!$E$29/100))*(LCC總表!$E$30*(1+T6)))</f>
        <v>137962.87208844928</v>
      </c>
      <c r="BE4" s="55">
        <f>((LCC總表!$E$27*(LCC總表!$E$29/100))*(LCC總表!$E$30*(1+U6)))</f>
        <v>138850.50765653266</v>
      </c>
      <c r="BF4" s="55">
        <f>((LCC總表!$E$27*(LCC總表!$E$29/100))*(LCC總表!$E$30*(1+V6)))</f>
        <v>139658.24144763031</v>
      </c>
      <c r="BG4" s="55">
        <f>((LCC總表!$E$27*(LCC總表!$E$29/100))*(LCC總表!$E$30*(1+W6)))</f>
        <v>139552.86745732595</v>
      </c>
      <c r="BH4" s="55">
        <f>((LCC總表!$E$27*(LCC總表!$E$29/100))*(LCC總表!$E$30*(1+X6)))</f>
        <v>140075.69421303796</v>
      </c>
      <c r="BI4" s="55">
        <f>((LCC總表!$E$27*(LCC總表!$E$29/100))*(LCC總表!$E$30*(1+Y6)))</f>
        <v>140504.9147926688</v>
      </c>
      <c r="BJ4" s="55">
        <f>((LCC總表!$E$27*(LCC總表!$E$29/100))*(LCC總表!$E$30*(1+Z6)))</f>
        <v>140802.87199785042</v>
      </c>
      <c r="BK4" s="55">
        <f>SUM(AN4:INDEX(AN4:BJ4,LCC總表!$E$6+LCC總表!$E$9-2018))</f>
        <v>899078.02689541783</v>
      </c>
    </row>
    <row r="5" spans="1:63">
      <c r="A5" s="14"/>
      <c r="B5" s="20"/>
      <c r="C5" s="36" t="s">
        <v>63</v>
      </c>
      <c r="D5" s="21"/>
      <c r="E5" s="22">
        <f>(E4-D4)/D4</f>
        <v>-1.2028247152966397E-2</v>
      </c>
      <c r="F5" s="22">
        <f t="shared" ref="F5:N5" si="0">(F4-E4)/E4</f>
        <v>7.7185394667099463E-2</v>
      </c>
      <c r="G5" s="22">
        <f t="shared" si="0"/>
        <v>1.4298988447976071E-2</v>
      </c>
      <c r="H5" s="22">
        <f t="shared" si="0"/>
        <v>4.1074197573288699E-3</v>
      </c>
      <c r="I5" s="23">
        <f t="shared" si="0"/>
        <v>2.297477062356636E-2</v>
      </c>
      <c r="J5" s="22">
        <f t="shared" si="0"/>
        <v>3.022704712610013E-2</v>
      </c>
      <c r="K5" s="22">
        <f t="shared" si="0"/>
        <v>1.4203035010122383E-2</v>
      </c>
      <c r="L5" s="22">
        <f t="shared" si="0"/>
        <v>7.1398640019535954E-3</v>
      </c>
      <c r="M5" s="22">
        <f t="shared" si="0"/>
        <v>2.276705241896966E-2</v>
      </c>
      <c r="N5" s="24">
        <f t="shared" si="0"/>
        <v>9.9081326942583071E-3</v>
      </c>
      <c r="O5" s="22">
        <f t="shared" ref="O5" si="1">(O4-N4)/N4</f>
        <v>0.11341098151704394</v>
      </c>
      <c r="P5" s="24">
        <f t="shared" ref="P5:Q5" si="2">(P4-O4)/O4</f>
        <v>4.7898387673341253E-3</v>
      </c>
      <c r="Q5" s="22">
        <f t="shared" si="2"/>
        <v>2.0847522559906271E-2</v>
      </c>
      <c r="R5" s="22">
        <f t="shared" ref="R5" si="3">(R4-Q4)/Q4</f>
        <v>9.5531205304262515E-3</v>
      </c>
      <c r="S5" s="22">
        <f t="shared" ref="S5" si="4">(S4-R4)/R4</f>
        <v>6.3783925701926484E-3</v>
      </c>
      <c r="T5" s="22">
        <f t="shared" ref="T5" si="5">(T4-S4)/S4</f>
        <v>2.4986662759035414E-3</v>
      </c>
      <c r="U5" s="22">
        <f t="shared" ref="U5" si="6">(U4-T4)/T4</f>
        <v>8.7519342711210694E-3</v>
      </c>
      <c r="V5" s="22">
        <f t="shared" ref="V5" si="7">(V4-U4)/U4</f>
        <v>7.9641164712607824E-3</v>
      </c>
      <c r="W5" s="22">
        <f t="shared" ref="W5" si="8">(W4-V4)/V4</f>
        <v>-1.0389694489380428E-3</v>
      </c>
      <c r="X5" s="22">
        <f t="shared" ref="X5" si="9">(X4-W4)/W4</f>
        <v>5.1549820283283559E-3</v>
      </c>
      <c r="Y5" s="22">
        <f t="shared" ref="Y5" si="10">(Y4-X4)/X4</f>
        <v>4.2320412067904734E-3</v>
      </c>
      <c r="Z5" s="22">
        <f t="shared" ref="Z5" si="11">(Z4-Y4)/Y4</f>
        <v>2.9378068760662203E-3</v>
      </c>
      <c r="AA5" s="22">
        <f t="shared" ref="AA5" si="12">(AA4-Z4)/Z4</f>
        <v>-6.9264107464116767E-5</v>
      </c>
      <c r="AB5" s="22">
        <f t="shared" ref="AB5" si="13">(AB4-AA4)/AA4</f>
        <v>5.6327584391321645E-3</v>
      </c>
      <c r="AC5" s="22">
        <f t="shared" ref="AC5" si="14">(AC4-AB4)/AB4</f>
        <v>-1.334585321558356E-4</v>
      </c>
      <c r="AD5" s="22">
        <f t="shared" ref="AD5" si="15">(AD4-AC4)/AC4</f>
        <v>-2.8307674650775664E-3</v>
      </c>
      <c r="AE5" s="22">
        <f t="shared" ref="AE5" si="16">(AE4-AD4)/AD4</f>
        <v>2.0500024570687967E-4</v>
      </c>
      <c r="AF5" s="22">
        <f t="shared" ref="AF5" si="17">(AF4-AE4)/AE4</f>
        <v>-3.2864390672327102E-3</v>
      </c>
      <c r="AG5" s="22">
        <f t="shared" ref="AG5" si="18">(AG4-AF4)/AF4</f>
        <v>-3.9685642242454616E-3</v>
      </c>
      <c r="AH5" s="22">
        <f t="shared" ref="AH5" si="19">(AH4-AG4)/AG4</f>
        <v>1.3035226846130645E-3</v>
      </c>
      <c r="AI5" s="22">
        <f t="shared" ref="AI5" si="20">(AI4-AH4)/AH4</f>
        <v>-1.6773954814790389E-3</v>
      </c>
      <c r="AJ5" s="22">
        <f t="shared" ref="AJ5" si="21">(AJ4-AI4)/AI4</f>
        <v>-2.5595409446546033E-4</v>
      </c>
      <c r="AM5" s="52" t="s">
        <v>98</v>
      </c>
      <c r="AN5" s="55">
        <f>IF(AN$3&gt;=LCC總表!$E$9,((LCC總表!$G$27*(LCC總表!$G$29/100))*LCC總表!$G$30),0)</f>
        <v>0</v>
      </c>
      <c r="AO5" s="55">
        <f>IF(AO3&gt;=LCC總表!$E$9,((LCC總表!$G$27*(LCC總表!$G$29/100))*(LCC總表!$G$30*(1+E$6))),0)</f>
        <v>77854.789499999999</v>
      </c>
      <c r="AP5" s="55">
        <f>((LCC總表!$G$27*(LCC總表!$G$29/100))*(LCC總表!$G$30*(1+F$6)))</f>
        <v>83864.042154281458</v>
      </c>
      <c r="AQ5" s="55">
        <f>((LCC總表!$G$27*(LCC總表!$G$29/100))*(LCC總表!$G$30*(1+G$6)))</f>
        <v>84977.286889961557</v>
      </c>
      <c r="AR5" s="55">
        <f>((LCC總表!$G$27*(LCC總表!$G$29/100))*(LCC總表!$G$30*(1+H$6)))</f>
        <v>85297.069190556518</v>
      </c>
      <c r="AS5" s="55">
        <f>((LCC總表!$G$27*(LCC總表!$G$29/100))*(LCC總表!$G$30*(1+I$6)))</f>
        <v>87085.765121265082</v>
      </c>
      <c r="AT5" s="55">
        <f>((LCC總表!$G$27*(LCC總表!$G$29/100))*(LCC總表!$G$30*(1+J$6)))</f>
        <v>89439.085512474179</v>
      </c>
      <c r="AU5" s="55">
        <f>((LCC總表!$G$27*(LCC總表!$G$29/100))*(LCC總表!$G$30*(1+K$6)))</f>
        <v>90544.859813448405</v>
      </c>
      <c r="AV5" s="55">
        <f>((LCC總表!$G$27*(LCC總表!$G$29/100))*(LCC總表!$G$30*(1+L$6)))</f>
        <v>91100.732422379122</v>
      </c>
      <c r="AW5" s="55">
        <f>((LCC總表!$G$27*(LCC總表!$G$29/100))*(LCC總表!$G$30*(1+M$6)))</f>
        <v>92873.256495993468</v>
      </c>
      <c r="AX5" s="55">
        <f>((LCC總表!$G$27*(LCC總表!$G$29/100))*(LCC總表!$G$30*(1+N$6)))</f>
        <v>93644.652081243024</v>
      </c>
      <c r="AY5" s="55">
        <f>((LCC總表!$G$27*(LCC總表!$G$29/100))*(LCC總表!$G$30*(1+O$6)))</f>
        <v>102474.24017424087</v>
      </c>
      <c r="AZ5" s="55">
        <f>((LCC總表!$G$27*(LCC總表!$G$29/100))*(LCC總表!$G$30*(1+P$6)))</f>
        <v>102847.1520632106</v>
      </c>
      <c r="BA5" s="55">
        <f>((LCC總表!$G$27*(LCC總表!$G$29/100))*(LCC總表!$G$30*(1+Q$6)))</f>
        <v>104470.23154370861</v>
      </c>
      <c r="BB5" s="55">
        <f>((LCC總表!$G$27*(LCC總表!$G$29/100))*(LCC總表!$G$30*(1+R$6)))</f>
        <v>105213.98773167307</v>
      </c>
      <c r="BC5" s="55">
        <f>((LCC總表!$G$27*(LCC總表!$G$29/100))*(LCC總表!$G$30*(1+S$6)))</f>
        <v>105710.57614257379</v>
      </c>
      <c r="BD5" s="55">
        <f>((LCC總表!$G$27*(LCC總表!$G$29/100))*(LCC總表!$G$30*(1+T$6)))</f>
        <v>105905.10927951499</v>
      </c>
      <c r="BE5" s="55">
        <f>((LCC總表!$G$27*(LCC總表!$G$29/100))*(LCC總表!$G$30*(1+U$6)))</f>
        <v>106586.48927991097</v>
      </c>
      <c r="BF5" s="55">
        <f>((LCC總表!$G$27*(LCC總表!$G$29/100))*(LCC總表!$G$30*(1+V$6)))</f>
        <v>107206.53389133446</v>
      </c>
      <c r="BG5" s="55">
        <f>((LCC總表!$G$27*(LCC總表!$G$29/100))*(LCC總表!$G$30*(1+W$6)))</f>
        <v>107125.64514359046</v>
      </c>
      <c r="BH5" s="55">
        <f>((LCC總表!$G$27*(LCC總表!$G$29/100))*(LCC總表!$G$30*(1+X$6)))</f>
        <v>107526.98518428224</v>
      </c>
      <c r="BI5" s="55">
        <f>((LCC總表!$G$27*(LCC總表!$G$29/100))*(LCC總表!$G$30*(1+Y$6)))</f>
        <v>107856.46986159224</v>
      </c>
      <c r="BJ5" s="55">
        <f>((LCC總表!$G$27*(LCC總表!$G$29/100))*(LCC總表!$G$30*(1+Z$6)))</f>
        <v>108085.19219752002</v>
      </c>
      <c r="BK5" s="55">
        <f>SUM(AN5:INDEX(AN5:BJ5,LCC總表!$E$6+LCC總表!$E$9-2018))</f>
        <v>690163.63060436631</v>
      </c>
    </row>
    <row r="6" spans="1:63" ht="17.25" thickBot="1">
      <c r="A6" s="25"/>
      <c r="B6" s="26"/>
      <c r="C6" s="37" t="s">
        <v>64</v>
      </c>
      <c r="D6" s="27"/>
      <c r="E6" s="28">
        <f>IF(LCC總表!$E$9&lt;能源價格!E$3,E5+D6,0)</f>
        <v>0</v>
      </c>
      <c r="F6" s="28">
        <f>IF(LCC總表!$E$9&lt;能源價格!F$3,F5+E6,0)</f>
        <v>7.7185394667099463E-2</v>
      </c>
      <c r="G6" s="28">
        <f>IF(LCC總表!$E$9&lt;能源價格!G$3,G5+F6,0)</f>
        <v>9.1484383115075535E-2</v>
      </c>
      <c r="H6" s="28">
        <f>IF(LCC總表!$E$9&lt;能源價格!H$3,H5+G6,0)</f>
        <v>9.5591802872404402E-2</v>
      </c>
      <c r="I6" s="43">
        <f>IF(LCC總表!$E$9&lt;能源價格!I$3,I5+H6,0)</f>
        <v>0.11856657349597076</v>
      </c>
      <c r="J6" s="28">
        <f>IF(LCC總表!$E$9&lt;能源價格!J$3,J5+I6,0)</f>
        <v>0.14879362062207088</v>
      </c>
      <c r="K6" s="28">
        <f>IF(LCC總表!$E$9&lt;能源價格!K$3,K5+J6,0)</f>
        <v>0.16299665563219326</v>
      </c>
      <c r="L6" s="28">
        <f>IF(LCC總表!$E$9&lt;能源價格!L$3,L5+K6,0)</f>
        <v>0.17013651963414686</v>
      </c>
      <c r="M6" s="28">
        <f>IF(LCC總表!$E$9&lt;能源價格!M$3,M5+L6,0)</f>
        <v>0.19290357205311653</v>
      </c>
      <c r="N6" s="43">
        <f>IF(LCC總表!$E$9&lt;能源價格!N$3,N5+M6,0)</f>
        <v>0.20281170474737484</v>
      </c>
      <c r="O6" s="28">
        <f>IF(LCC總表!$E$9&lt;能源價格!O$3,O5+N6,0)</f>
        <v>0.3162226862644188</v>
      </c>
      <c r="P6" s="43">
        <f>IF(LCC總表!$E$9&lt;能源價格!P$3,P5+O6,0)</f>
        <v>0.32101252503175293</v>
      </c>
      <c r="Q6" s="28">
        <f>IF(LCC總表!$E$9&lt;能源價格!Q$3,Q5+P6,0)</f>
        <v>0.34186004759165922</v>
      </c>
      <c r="R6" s="28">
        <f>IF(LCC總表!$E$9&lt;能源價格!R$3,R5+Q6,0)</f>
        <v>0.35141316812208545</v>
      </c>
      <c r="S6" s="28">
        <f>IF(LCC總表!$E$9&lt;能源價格!S$3,S5+R6,0)</f>
        <v>0.35779156069227808</v>
      </c>
      <c r="T6" s="28">
        <f>IF(LCC總表!$E$9&lt;能源價格!T$3,T5+S6,0)</f>
        <v>0.36029022696818164</v>
      </c>
      <c r="U6" s="28">
        <f>IF(LCC總表!$E$9&lt;能源價格!U$3,U5+T6,0)</f>
        <v>0.36904216123930272</v>
      </c>
      <c r="V6" s="28">
        <f>IF(LCC總表!$E$9&lt;能源價格!V$3,V5+U6,0)</f>
        <v>0.3770062777105635</v>
      </c>
      <c r="W6" s="28">
        <f>IF(LCC總表!$E$9&lt;能源價格!W$3,W5+V6,0)</f>
        <v>0.37596730826162544</v>
      </c>
      <c r="X6" s="28">
        <f>IF(LCC總表!$E$9&lt;能源價格!X$3,X5+W6,0)</f>
        <v>0.38112229028995381</v>
      </c>
      <c r="Y6" s="28">
        <f>IF(LCC總表!$E$9&lt;能源價格!Y$3,Y5+X6,0)</f>
        <v>0.38535433149674431</v>
      </c>
      <c r="Z6" s="28">
        <f>IF(LCC總表!$E$9&lt;能源價格!Z$3,Z5+Y6,0)</f>
        <v>0.38829213837281051</v>
      </c>
      <c r="AA6" s="28">
        <f>IF(LCC總表!$E$9&lt;能源價格!AA$3,AA5+Z6,0)</f>
        <v>0.38822287426534641</v>
      </c>
      <c r="AB6" s="28">
        <f>IF(LCC總表!$E$9&lt;能源價格!AB$3,AB5+AA6,0)</f>
        <v>0.3938556327044786</v>
      </c>
      <c r="AC6" s="28">
        <f>IF(LCC總表!$E$9&lt;能源價格!AC$3,AC5+AB6,0)</f>
        <v>0.39372217417232275</v>
      </c>
      <c r="AD6" s="28">
        <f>IF(LCC總表!$E$9&lt;能源價格!AD$3,AD5+AC6,0)</f>
        <v>0.3908914067072452</v>
      </c>
      <c r="AE6" s="28">
        <f>IF(LCC總表!$E$9&lt;能源價格!AE$3,AE5+AD6,0)</f>
        <v>0.39109640695295206</v>
      </c>
      <c r="AF6" s="28">
        <f>IF(LCC總表!$E$9&lt;能源價格!AF$3,AF5+AE6,0)</f>
        <v>0.38780996788571936</v>
      </c>
      <c r="AG6" s="28">
        <f>IF(LCC總表!$E$9&lt;能源價格!AG$3,AG5+AF6,0)</f>
        <v>0.3838414036614739</v>
      </c>
      <c r="AH6" s="28">
        <f>IF(LCC總表!$E$9&lt;能源價格!AH$3,AH5+AG6,0)</f>
        <v>0.38514492634608699</v>
      </c>
      <c r="AI6" s="28">
        <f>IF(LCC總表!$E$9&lt;能源價格!AI$3,AI5+AH6,0)</f>
        <v>0.38346753086460794</v>
      </c>
      <c r="AJ6" s="28">
        <f>IF(LCC總表!$E$9&lt;能源價格!AJ$3,AJ5+AI6,0)</f>
        <v>0.3832115767701425</v>
      </c>
      <c r="AM6" s="52" t="s">
        <v>99</v>
      </c>
      <c r="AN6" s="55">
        <f>IF(AN$3&gt;=LCC總表!$E$9,((LCC總表!$I$27*(LCC總表!$I$29/100))*LCC總表!$I$30),0)</f>
        <v>0</v>
      </c>
      <c r="AO6" s="55">
        <f>((LCC總表!$I$27*(LCC總表!$I$29/100))*LCC總表!$I$30*(1+E$6))</f>
        <v>144584.49</v>
      </c>
      <c r="AP6" s="55">
        <f>((LCC總表!$I$27*(LCC總表!$I$29/100))*LCC總表!$I$30*(1+F$6))</f>
        <v>155744.3009233913</v>
      </c>
      <c r="AQ6" s="55">
        <f>((LCC總表!$I$27*(LCC總表!$I$29/100))*LCC總表!$I$30*(1+G$6))</f>
        <v>157811.7128756578</v>
      </c>
      <c r="AR6" s="55">
        <f>((LCC總表!$I$27*(LCC總表!$I$29/100))*LCC總表!$I$30*(1+H$6))</f>
        <v>158405.58206648711</v>
      </c>
      <c r="AS6" s="55">
        <f>((LCC總表!$I$27*(LCC總表!$I$29/100))*LCC總表!$I$30*(1+I$6))</f>
        <v>161727.37755996242</v>
      </c>
      <c r="AT6" s="55">
        <f>((LCC總表!$I$27*(LCC總表!$I$29/100))*LCC總表!$I$30*(1+J$6))</f>
        <v>166097.73975289558</v>
      </c>
      <c r="AU6" s="55">
        <f>((LCC總表!$I$27*(LCC總表!$I$29/100))*LCC總表!$I$30*(1+K$6))</f>
        <v>168151.27832628629</v>
      </c>
      <c r="AV6" s="55">
        <f>((LCC總表!$I$27*(LCC總表!$I$29/100))*LCC總表!$I$30*(1+L$6))</f>
        <v>169183.5919216781</v>
      </c>
      <c r="AW6" s="55">
        <f>((LCC總表!$I$27*(LCC總表!$I$29/100))*LCC總表!$I$30*(1+M$6))</f>
        <v>172475.35458447807</v>
      </c>
      <c r="AX6" s="55">
        <f>((LCC總表!$I$27*(LCC總表!$I$29/100))*LCC總表!$I$30*(1+N$6))</f>
        <v>173907.91689692976</v>
      </c>
      <c r="AY6" s="55">
        <f>((LCC總表!$I$27*(LCC總表!$I$29/100))*LCC總表!$I$30*(1+O$6))</f>
        <v>190305.38581997098</v>
      </c>
      <c r="AZ6" s="55">
        <f>((LCC總表!$I$27*(LCC總表!$I$29/100))*LCC總表!$I$30*(1+P$6))</f>
        <v>190997.9222153282</v>
      </c>
      <c r="BA6" s="55">
        <f>((LCC總表!$I$27*(LCC總表!$I$29/100))*LCC總表!$I$30*(1+Q$6))</f>
        <v>194012.15063241575</v>
      </c>
      <c r="BB6" s="55">
        <f>((LCC總表!$I$27*(LCC總表!$I$29/100))*LCC總表!$I$30*(1+R$6))</f>
        <v>195393.38369221598</v>
      </c>
      <c r="BC6" s="55">
        <f>((LCC總表!$I$27*(LCC總表!$I$29/100))*LCC總表!$I$30*(1+S$6))</f>
        <v>196315.60032899707</v>
      </c>
      <c r="BD6" s="55">
        <f>((LCC總表!$I$27*(LCC總表!$I$29/100))*LCC總表!$I$30*(1+T$6))</f>
        <v>196676.86871817877</v>
      </c>
      <c r="BE6" s="55">
        <f>((LCC總表!$I$27*(LCC總表!$I$29/100))*LCC總表!$I$30*(1+U$6))</f>
        <v>197942.26267128234</v>
      </c>
      <c r="BF6" s="55">
        <f>((LCC總表!$I$27*(LCC總表!$I$29/100))*LCC總表!$I$30*(1+V$6))</f>
        <v>199093.75038958021</v>
      </c>
      <c r="BG6" s="55">
        <f>((LCC總表!$I$27*(LCC總表!$I$29/100))*LCC總表!$I$30*(1+W$6))</f>
        <v>198943.53152167989</v>
      </c>
      <c r="BH6" s="55">
        <f>((LCC總表!$I$27*(LCC總表!$I$29/100))*LCC總表!$I$30*(1+X$6))</f>
        <v>199688.86196920491</v>
      </c>
      <c r="BI6" s="55">
        <f>((LCC總表!$I$27*(LCC總表!$I$29/100))*LCC總表!$I$30*(1+Y$6))</f>
        <v>200300.74948874768</v>
      </c>
      <c r="BJ6" s="55">
        <f>((LCC總表!$I$27*(LCC總表!$I$29/100))*LCC總表!$I$30*(1+Z$6))</f>
        <v>200725.5107976422</v>
      </c>
      <c r="BK6" s="55">
        <f>SUM(AN6:INDEX(AN6:BJ6,LCC總表!$E$6+LCC總表!$E$9-2018))</f>
        <v>1281706.0734263586</v>
      </c>
    </row>
    <row r="7" spans="1:63" ht="17.25" thickTop="1">
      <c r="A7" s="33" t="s">
        <v>52</v>
      </c>
      <c r="B7" s="31" t="s">
        <v>57</v>
      </c>
      <c r="C7" s="35" t="s">
        <v>62</v>
      </c>
      <c r="D7" s="16">
        <v>26.922483</v>
      </c>
      <c r="E7" s="17">
        <v>26.917805000000001</v>
      </c>
      <c r="F7" s="17">
        <v>27.882497999999998</v>
      </c>
      <c r="G7" s="17">
        <v>28.332429999999999</v>
      </c>
      <c r="H7" s="17">
        <v>28.330482</v>
      </c>
      <c r="I7" s="18">
        <v>28.81156</v>
      </c>
      <c r="J7" s="17">
        <v>29.385003999999999</v>
      </c>
      <c r="K7" s="17">
        <v>29.697465999999999</v>
      </c>
      <c r="L7" s="17">
        <v>29.938618000000002</v>
      </c>
      <c r="M7" s="17">
        <v>30.487435999999999</v>
      </c>
      <c r="N7" s="19">
        <v>30.693211000000002</v>
      </c>
      <c r="O7" s="17">
        <v>34.160373999999997</v>
      </c>
      <c r="P7" s="19">
        <v>34.232532999999997</v>
      </c>
      <c r="Q7" s="17">
        <v>34.941017000000002</v>
      </c>
      <c r="R7" s="17">
        <v>35.195847000000001</v>
      </c>
      <c r="S7" s="17">
        <v>35.249564999999997</v>
      </c>
      <c r="T7" s="17">
        <v>35.484783</v>
      </c>
      <c r="U7" s="17">
        <v>35.631363</v>
      </c>
      <c r="V7" s="17">
        <v>35.970692</v>
      </c>
      <c r="W7" s="17">
        <v>35.942225999999998</v>
      </c>
      <c r="X7" s="17">
        <v>36.148884000000002</v>
      </c>
      <c r="Y7" s="17">
        <v>36.266613</v>
      </c>
      <c r="Z7" s="17">
        <v>36.483207999999998</v>
      </c>
      <c r="AA7" s="17">
        <v>36.617019999999997</v>
      </c>
      <c r="AB7" s="17">
        <v>36.883099000000001</v>
      </c>
      <c r="AC7" s="17">
        <v>36.923904</v>
      </c>
      <c r="AD7" s="17">
        <v>36.794494999999998</v>
      </c>
      <c r="AE7" s="17">
        <v>36.827553000000002</v>
      </c>
      <c r="AF7" s="17">
        <v>37.036952999999997</v>
      </c>
      <c r="AG7" s="17">
        <v>37.103026999999997</v>
      </c>
      <c r="AH7" s="17">
        <v>37.281151000000001</v>
      </c>
      <c r="AI7" s="17">
        <v>37.248688000000001</v>
      </c>
      <c r="AJ7" s="17">
        <v>37.207625999999998</v>
      </c>
      <c r="AM7" s="52" t="s">
        <v>100</v>
      </c>
      <c r="AN7" s="55">
        <f>IF(AN$3&gt;=LCC總表!$E$9,((LCC總表!$K$27*(LCC總表!$K$29/100))*LCC總表!$K$30),0)</f>
        <v>0</v>
      </c>
      <c r="AO7" s="55">
        <f>((LCC總表!$K$27*(LCC總表!$K$29/100))*LCC總表!$K$30*(1+E$6))</f>
        <v>82147.323839999997</v>
      </c>
      <c r="AP7" s="55">
        <f>((LCC總表!$K$27*(LCC總表!$K$29/100))*LCC總表!$K$30*(1+F$6))</f>
        <v>88487.897451436424</v>
      </c>
      <c r="AQ7" s="55">
        <f>((LCC總表!$K$27*(LCC總表!$K$29/100))*LCC總表!$K$30*(1+G$6))</f>
        <v>89662.521086056731</v>
      </c>
      <c r="AR7" s="55">
        <f>((LCC總表!$K$27*(LCC總表!$K$29/100))*LCC總表!$K$30*(1+H$6))</f>
        <v>89999.934627008843</v>
      </c>
      <c r="AS7" s="55">
        <f>((LCC總表!$K$27*(LCC總表!$K$29/100))*LCC總表!$K$30*(1+I$6))</f>
        <v>91887.250549572665</v>
      </c>
      <c r="AT7" s="55">
        <f>((LCC總表!$K$27*(LCC總表!$K$29/100))*LCC總表!$K$30*(1+J$6))</f>
        <v>94370.321578567353</v>
      </c>
      <c r="AU7" s="55">
        <f>((LCC總表!$K$27*(LCC總表!$K$29/100))*LCC總表!$K$30*(1+K$6))</f>
        <v>95537.06289505474</v>
      </c>
      <c r="AV7" s="55">
        <f>((LCC總表!$K$27*(LCC總表!$K$29/100))*LCC總表!$K$30*(1+L$6))</f>
        <v>96123.583615396783</v>
      </c>
      <c r="AW7" s="55">
        <f>((LCC總表!$K$27*(LCC總表!$K$29/100))*LCC總表!$K$30*(1+M$6))</f>
        <v>97993.836043340125</v>
      </c>
      <c r="AX7" s="55">
        <f>((LCC總表!$K$27*(LCC總表!$K$29/100))*LCC總表!$K$30*(1+N$6))</f>
        <v>98807.762628425058</v>
      </c>
      <c r="AY7" s="55">
        <f>((LCC總表!$K$27*(LCC總表!$K$29/100))*LCC總表!$K$30*(1+O$6))</f>
        <v>108124.17125411793</v>
      </c>
      <c r="AZ7" s="55">
        <f>((LCC總表!$K$27*(LCC總表!$K$29/100))*LCC總表!$K$30*(1+P$6))</f>
        <v>108517.6436904795</v>
      </c>
      <c r="BA7" s="55">
        <f>((LCC總表!$K$27*(LCC總表!$K$29/100))*LCC總表!$K$30*(1+Q$6))</f>
        <v>110230.21187746983</v>
      </c>
      <c r="BB7" s="55">
        <f>((LCC總表!$K$27*(LCC總表!$K$29/100))*LCC總表!$K$30*(1+R$6))</f>
        <v>111014.97516336532</v>
      </c>
      <c r="BC7" s="55">
        <f>((LCC總表!$K$27*(LCC總表!$K$29/100))*LCC總表!$K$30*(1+S$6))</f>
        <v>111538.94304340758</v>
      </c>
      <c r="BD7" s="55">
        <f>((LCC總表!$K$27*(LCC總表!$K$29/100))*LCC總表!$K$30*(1+T$6))</f>
        <v>111744.20179114232</v>
      </c>
      <c r="BE7" s="55">
        <f>((LCC總表!$K$27*(LCC總表!$K$29/100))*LCC總表!$K$30*(1+U$6))</f>
        <v>112463.14976993849</v>
      </c>
      <c r="BF7" s="55">
        <f>((LCC總表!$K$27*(LCC總表!$K$29/100))*LCC總表!$K$30*(1+V$6))</f>
        <v>113117.38062480264</v>
      </c>
      <c r="BG7" s="55">
        <f>((LCC總表!$K$27*(LCC總表!$K$29/100))*LCC總表!$K$30*(1+W$6))</f>
        <v>113032.03206502086</v>
      </c>
      <c r="BH7" s="55">
        <f>((LCC總表!$K$27*(LCC總表!$K$29/100))*LCC總表!$K$30*(1+X$6))</f>
        <v>113455.50004309132</v>
      </c>
      <c r="BI7" s="55">
        <f>((LCC總表!$K$27*(LCC總表!$K$29/100))*LCC總表!$K$30*(1+Y$6))</f>
        <v>113803.15090260976</v>
      </c>
      <c r="BJ7" s="55">
        <f>((LCC總表!$K$27*(LCC總表!$K$29/100))*LCC總表!$K$30*(1+Z$6))</f>
        <v>114044.48387543735</v>
      </c>
      <c r="BK7" s="55">
        <f>SUM(AN7:INDEX(AN7:BJ7,LCC總表!$E$6+LCC總表!$E$9-2018))</f>
        <v>728215.89564309351</v>
      </c>
    </row>
    <row r="8" spans="1:63">
      <c r="A8" s="14"/>
      <c r="B8" s="15"/>
      <c r="C8" s="36" t="s">
        <v>63</v>
      </c>
      <c r="D8" s="30"/>
      <c r="E8" s="22">
        <f>(E7-D7)/D7</f>
        <v>-1.7375811881832764E-4</v>
      </c>
      <c r="F8" s="22">
        <f t="shared" ref="F8:N8" si="22">(F7-E7)/E7</f>
        <v>3.5838471970504167E-2</v>
      </c>
      <c r="G8" s="22">
        <f t="shared" si="22"/>
        <v>1.6136717735979054E-2</v>
      </c>
      <c r="H8" s="167">
        <f t="shared" si="22"/>
        <v>-6.8755133251850568E-5</v>
      </c>
      <c r="I8" s="23">
        <f t="shared" si="22"/>
        <v>1.6980932410539294E-2</v>
      </c>
      <c r="J8" s="168">
        <f t="shared" si="22"/>
        <v>1.9903261052160955E-2</v>
      </c>
      <c r="K8" s="22">
        <f t="shared" si="22"/>
        <v>1.0633382932328342E-2</v>
      </c>
      <c r="L8" s="22">
        <f t="shared" si="22"/>
        <v>8.1202887815412655E-3</v>
      </c>
      <c r="M8" s="22">
        <f t="shared" si="22"/>
        <v>1.8331440683066837E-2</v>
      </c>
      <c r="N8" s="24">
        <f t="shared" si="22"/>
        <v>6.7495016635706166E-3</v>
      </c>
      <c r="O8" s="22">
        <f t="shared" ref="O8" si="23">(O7-N7)/N7</f>
        <v>0.11296188593627417</v>
      </c>
      <c r="P8" s="24">
        <f t="shared" ref="P8:Q8" si="24">(P7-O7)/O7</f>
        <v>2.1123597768572208E-3</v>
      </c>
      <c r="Q8" s="22">
        <f t="shared" si="24"/>
        <v>2.0696219003133825E-2</v>
      </c>
      <c r="R8" s="22">
        <f t="shared" ref="R8" si="25">(R7-Q7)/Q7</f>
        <v>7.2931477638443756E-3</v>
      </c>
      <c r="S8" s="22">
        <f t="shared" ref="S8" si="26">(S7-R7)/R7</f>
        <v>1.5262596180735863E-3</v>
      </c>
      <c r="T8" s="22">
        <f t="shared" ref="T8" si="27">(T7-S7)/S7</f>
        <v>6.6729334106677141E-3</v>
      </c>
      <c r="U8" s="22">
        <f t="shared" ref="U8" si="28">(U7-T7)/T7</f>
        <v>4.1307847366574045E-3</v>
      </c>
      <c r="V8" s="22">
        <f t="shared" ref="V8" si="29">(V7-U7)/U7</f>
        <v>9.5233235955638103E-3</v>
      </c>
      <c r="W8" s="22">
        <f t="shared" ref="W8" si="30">(W7-V7)/V7</f>
        <v>-7.9136648246860689E-4</v>
      </c>
      <c r="X8" s="22">
        <f t="shared" ref="X8" si="31">(X7-W7)/W7</f>
        <v>5.7497273541155872E-3</v>
      </c>
      <c r="Y8" s="22">
        <f t="shared" ref="Y8" si="32">(Y7-X7)/X7</f>
        <v>3.2567810392154038E-3</v>
      </c>
      <c r="Z8" s="22">
        <f t="shared" ref="Z8" si="33">(Z7-Y7)/Y7</f>
        <v>5.9722974406239172E-3</v>
      </c>
      <c r="AA8" s="22">
        <f t="shared" ref="AA8" si="34">(AA7-Z7)/Z7</f>
        <v>3.6677695667551753E-3</v>
      </c>
      <c r="AB8" s="22">
        <f t="shared" ref="AB8" si="35">(AB7-AA7)/AA7</f>
        <v>7.2665388936621516E-3</v>
      </c>
      <c r="AC8" s="22">
        <f t="shared" ref="AC8" si="36">(AC7-AB7)/AB7</f>
        <v>1.1063332828946631E-3</v>
      </c>
      <c r="AD8" s="22">
        <f t="shared" ref="AD8" si="37">(AD7-AC7)/AC7</f>
        <v>-3.5047485769652783E-3</v>
      </c>
      <c r="AE8" s="22">
        <f t="shared" ref="AE8" si="38">(AE7-AD7)/AD7</f>
        <v>8.9844961861832947E-4</v>
      </c>
      <c r="AF8" s="22">
        <f t="shared" ref="AF8" si="39">(AF7-AE7)/AE7</f>
        <v>5.6859601831268872E-3</v>
      </c>
      <c r="AG8" s="22">
        <f t="shared" ref="AG8" si="40">(AG7-AF7)/AF7</f>
        <v>1.7840020479006579E-3</v>
      </c>
      <c r="AH8" s="22">
        <f t="shared" ref="AH8" si="41">(AH7-AG7)/AG7</f>
        <v>4.8007942855984222E-3</v>
      </c>
      <c r="AI8" s="22">
        <f t="shared" ref="AI8" si="42">(AI7-AH7)/AH7</f>
        <v>-8.7076174230779266E-4</v>
      </c>
      <c r="AJ8" s="22">
        <f t="shared" ref="AJ8" si="43">(AJ7-AI7)/AI7</f>
        <v>-1.1023743977238529E-3</v>
      </c>
      <c r="AM8" s="52" t="s">
        <v>101</v>
      </c>
      <c r="AN8" s="55">
        <f>IF(AN$3&gt;=LCC總表!$E$9,((LCC總表!$M$27*(LCC總表!$M$29/100))*LCC總表!$M$30),0)</f>
        <v>0</v>
      </c>
      <c r="AO8" s="55">
        <f>((LCC總表!$M$27*(LCC總表!$M$29/100))*LCC總表!$M$30*(1+E$6))</f>
        <v>403336.56</v>
      </c>
      <c r="AP8" s="55">
        <f>((LCC總表!$M$27*(LCC總表!$M$29/100))*LCC總表!$M$30*(1+F$6))</f>
        <v>434468.25156727026</v>
      </c>
      <c r="AQ8" s="55">
        <f>((LCC總表!$M$27*(LCC總表!$M$29/100))*LCC總表!$M$30*(1+G$6))</f>
        <v>440235.55637935665</v>
      </c>
      <c r="AR8" s="55">
        <f>((LCC總表!$M$27*(LCC總表!$M$29/100))*LCC總表!$M$30*(1+H$6))</f>
        <v>441892.22893475369</v>
      </c>
      <c r="AS8" s="55">
        <f>((LCC總表!$M$27*(LCC總表!$M$29/100))*LCC總表!$M$30*(1+I$6))</f>
        <v>451158.79388485197</v>
      </c>
      <c r="AT8" s="55">
        <f>((LCC總表!$M$27*(LCC總表!$M$29/100))*LCC總表!$M$30*(1+J$6))</f>
        <v>463350.46709165111</v>
      </c>
      <c r="AU8" s="55">
        <f>((LCC總表!$M$27*(LCC總表!$M$29/100))*LCC總表!$M$30*(1+K$6))</f>
        <v>469079.07037419348</v>
      </c>
      <c r="AV8" s="55">
        <f>((LCC總表!$M$27*(LCC總表!$M$29/100))*LCC總表!$M$30*(1+L$6))</f>
        <v>471958.83855960926</v>
      </c>
      <c r="AW8" s="55">
        <f>((LCC總表!$M$27*(LCC總表!$M$29/100))*LCC總表!$M$30*(1+M$6))</f>
        <v>481141.62316361611</v>
      </c>
      <c r="AX8" s="55">
        <f>((LCC總表!$M$27*(LCC總表!$M$29/100))*LCC總表!$M$30*(1+N$6))</f>
        <v>485137.93532054179</v>
      </c>
      <c r="AY8" s="55">
        <f>((LCC總表!$M$27*(LCC總表!$M$29/100))*LCC總表!$M$30*(1+O$6))</f>
        <v>530880.73047184991</v>
      </c>
      <c r="AZ8" s="55">
        <f>((LCC總表!$M$27*(LCC總表!$M$29/100))*LCC總表!$M$30*(1+P$6))</f>
        <v>532812.64756322105</v>
      </c>
      <c r="BA8" s="55">
        <f>((LCC總表!$M$27*(LCC總表!$M$29/100))*LCC總表!$M$30*(1+Q$6))</f>
        <v>541221.21559705609</v>
      </c>
      <c r="BB8" s="55">
        <f>((LCC總表!$M$27*(LCC總表!$M$29/100))*LCC總表!$M$30*(1+R$6))</f>
        <v>545074.33836906368</v>
      </c>
      <c r="BC8" s="55">
        <f>((LCC總表!$M$27*(LCC總表!$M$29/100))*LCC總表!$M$30*(1+S$6))</f>
        <v>547646.97728665464</v>
      </c>
      <c r="BD8" s="55">
        <f>((LCC總表!$M$27*(LCC總表!$M$29/100))*LCC總表!$M$30*(1+T$6))</f>
        <v>548654.78074696555</v>
      </c>
      <c r="BE8" s="55">
        <f>((LCC總表!$M$27*(LCC總表!$M$29/100))*LCC總表!$M$30*(1+U$6))</f>
        <v>552184.75580922572</v>
      </c>
      <c r="BF8" s="55">
        <f>((LCC總表!$M$27*(LCC總表!$M$29/100))*LCC總表!$M$30*(1+V$6))</f>
        <v>555396.97515018343</v>
      </c>
      <c r="BG8" s="55">
        <f>((LCC總表!$M$27*(LCC總表!$M$29/100))*LCC總表!$M$30*(1+W$6))</f>
        <v>554977.92078670359</v>
      </c>
      <c r="BH8" s="55">
        <f>((LCC總表!$M$27*(LCC總表!$M$29/100))*LCC總表!$M$30*(1+X$6))</f>
        <v>557057.11350487138</v>
      </c>
      <c r="BI8" s="55">
        <f>((LCC總表!$M$27*(LCC總表!$M$29/100))*LCC總表!$M$30*(1+Y$6))</f>
        <v>558764.05044699647</v>
      </c>
      <c r="BJ8" s="55">
        <f>((LCC總表!$M$27*(LCC總表!$M$29/100))*LCC總表!$M$30*(1+Z$6))</f>
        <v>559948.97536633338</v>
      </c>
      <c r="BK8" s="55">
        <f>SUM(AN8:INDEX(AN8:BJ8,LCC總表!$E$6+LCC總表!$E$9-2018))</f>
        <v>3575479.7667916864</v>
      </c>
    </row>
    <row r="9" spans="1:63" ht="17.25" thickBot="1">
      <c r="A9" s="25"/>
      <c r="B9" s="26"/>
      <c r="C9" s="37" t="s">
        <v>64</v>
      </c>
      <c r="D9" s="27"/>
      <c r="E9" s="28">
        <f>IF(LCC總表!$E$9&lt;能源價格!E$3,E8+D9,0)</f>
        <v>0</v>
      </c>
      <c r="F9" s="28">
        <f>IF(LCC總表!$E$9&lt;=能源價格!F$3,F8+E9,0)</f>
        <v>3.5838471970504167E-2</v>
      </c>
      <c r="G9" s="28">
        <f>IF(LCC總表!$E$9&lt;=能源價格!G$3,G8+F9,0)</f>
        <v>5.1975189706483224E-2</v>
      </c>
      <c r="H9" s="28">
        <f>IF(LCC總表!$E$9&lt;=能源價格!H$3,H8+G9,0)</f>
        <v>5.1906434573231373E-2</v>
      </c>
      <c r="I9" s="29">
        <f>IF(LCC總表!$E$9&lt;=能源價格!I$3,I8+H9,0)</f>
        <v>6.8887366983770668E-2</v>
      </c>
      <c r="J9" s="28">
        <f>IF(LCC總表!$E$9&lt;=能源價格!J$3,J8+I9,0)</f>
        <v>8.8790628035931629E-2</v>
      </c>
      <c r="K9" s="28">
        <f>IF(LCC總表!$E$9&lt;=能源價格!K$3,K8+J9,0)</f>
        <v>9.9424010968259965E-2</v>
      </c>
      <c r="L9" s="28">
        <f>IF(LCC總表!$E$9&lt;=能源價格!L$3,L8+K9,0)</f>
        <v>0.10754429974980123</v>
      </c>
      <c r="M9" s="28">
        <f>IF(LCC總表!$E$9&lt;=能源價格!M$3,M8+L9,0)</f>
        <v>0.12587574043286806</v>
      </c>
      <c r="N9" s="43">
        <f>IF(LCC總表!$E$9&lt;=能源價格!N$3,N8+M9,0)</f>
        <v>0.13262524209643867</v>
      </c>
      <c r="O9" s="28">
        <f>IF(LCC總表!$E$9&lt;=能源價格!O$3,O8+N9,0)</f>
        <v>0.24558712803271282</v>
      </c>
      <c r="P9" s="43">
        <f>IF(LCC總表!$E$9&lt;=能源價格!P$3,P8+O9,0)</f>
        <v>0.24769948780957005</v>
      </c>
      <c r="Q9" s="28">
        <f>IF(LCC總表!$E$9&lt;=能源價格!Q$3,Q8+P9,0)</f>
        <v>0.26839570681270386</v>
      </c>
      <c r="R9" s="28">
        <f>IF(LCC總表!$E$9&lt;=能源價格!R$3,R8+Q9,0)</f>
        <v>0.27568885457654824</v>
      </c>
      <c r="S9" s="28">
        <f>IF(LCC總表!$E$9&lt;=能源價格!S$3,S8+R9,0)</f>
        <v>0.2772151141946218</v>
      </c>
      <c r="T9" s="28">
        <f>IF(LCC總表!$E$9&lt;=能源價格!T$3,T8+S9,0)</f>
        <v>0.28388804760528952</v>
      </c>
      <c r="U9" s="28">
        <f>IF(LCC總表!$E$9&lt;=能源價格!U$3,U8+T9,0)</f>
        <v>0.28801883234194692</v>
      </c>
      <c r="V9" s="28">
        <f>IF(LCC總表!$E$9&lt;=能源價格!V$3,V8+U9,0)</f>
        <v>0.29754215593751071</v>
      </c>
      <c r="W9" s="28">
        <f>IF(LCC總表!$E$9&lt;=能源價格!W$3,W8+V9,0)</f>
        <v>0.29675078945504213</v>
      </c>
      <c r="X9" s="28">
        <f>IF(LCC總表!$E$9&lt;=能源價格!X$3,X8+W9,0)</f>
        <v>0.30250051680915774</v>
      </c>
      <c r="Y9" s="28">
        <f>IF(LCC總表!$E$9&lt;=能源價格!Y$3,Y8+X9,0)</f>
        <v>0.30575729784837313</v>
      </c>
      <c r="Z9" s="28">
        <f>IF(LCC總表!$E$9&lt;=能源價格!Z$3,Z8+Y9,0)</f>
        <v>0.31172959528899707</v>
      </c>
      <c r="AA9" s="28">
        <f>IF(LCC總表!$E$9&lt;=能源價格!AA$3,AA8+Z9,0)</f>
        <v>0.31539736485575226</v>
      </c>
      <c r="AB9" s="28">
        <f>IF(LCC總表!$E$9&lt;=能源價格!AB$3,AB8+AA9,0)</f>
        <v>0.32266390374941439</v>
      </c>
      <c r="AC9" s="28">
        <f>IF(LCC總表!$E$9&lt;=能源價格!AC$3,AC8+AB9,0)</f>
        <v>0.32377023703230906</v>
      </c>
      <c r="AD9" s="28">
        <f>IF(LCC總表!$E$9&lt;=能源價格!AD$3,AD8+AC9,0)</f>
        <v>0.32026548845534381</v>
      </c>
      <c r="AE9" s="28">
        <f>IF(LCC總表!$E$9&lt;=能源價格!AE$3,AE8+AD9,0)</f>
        <v>0.32116393807396215</v>
      </c>
      <c r="AF9" s="28">
        <f>IF(LCC總表!$E$9&lt;=能源價格!AF$3,AF8+AE9,0)</f>
        <v>0.32684989825708904</v>
      </c>
      <c r="AG9" s="28">
        <f>IF(LCC總表!$E$9&lt;=能源價格!AG$3,AG8+AF9,0)</f>
        <v>0.32863390030498968</v>
      </c>
      <c r="AH9" s="28">
        <f>IF(LCC總表!$E$9&lt;=能源價格!AH$3,AH8+AG9,0)</f>
        <v>0.33343469459058811</v>
      </c>
      <c r="AI9" s="28">
        <f>IF(LCC總表!$E$9&lt;=能源價格!AI$3,AI8+AH9,0)</f>
        <v>0.33256393284828034</v>
      </c>
      <c r="AJ9" s="28">
        <f>IF(LCC總表!$E$9&lt;=能源價格!AJ$3,AJ8+AI9,0)</f>
        <v>0.33146155845055647</v>
      </c>
      <c r="AM9" s="52" t="s">
        <v>102</v>
      </c>
      <c r="AN9" s="55">
        <f>IF(AN$3&gt;=LCC總表!$E$9,((LCC總表!$O$27*(LCC總表!$O$29/100))*LCC總表!$O$30),0)</f>
        <v>0</v>
      </c>
      <c r="AO9" s="55">
        <f>((LCC總表!$O$27*(LCC總表!$O$29/100))*LCC總表!$O$30*(1+E$6))</f>
        <v>0</v>
      </c>
      <c r="AP9" s="55">
        <f>((LCC總表!$O$27*(LCC總表!$O$29/100))*LCC總表!$O$30*(1+F$6))</f>
        <v>0</v>
      </c>
      <c r="AQ9" s="55">
        <f>((LCC總表!$O$27*(LCC總表!$O$29/100))*LCC總表!$O$30*(1+G$6))</f>
        <v>0</v>
      </c>
      <c r="AR9" s="55">
        <f>((LCC總表!$O$27*(LCC總表!$O$29/100))*LCC總表!$O$30*(1+H$6))</f>
        <v>0</v>
      </c>
      <c r="AS9" s="55">
        <f>((LCC總表!$O$27*(LCC總表!$O$29/100))*LCC總表!$O$30*(1+I$6))</f>
        <v>0</v>
      </c>
      <c r="AT9" s="55">
        <f>((LCC總表!$O$27*(LCC總表!$O$29/100))*LCC總表!$O$30*(1+J$6))</f>
        <v>0</v>
      </c>
      <c r="AU9" s="55">
        <f>((LCC總表!$O$27*(LCC總表!$O$29/100))*LCC總表!$O$30*(1+K$6))</f>
        <v>0</v>
      </c>
      <c r="AV9" s="55">
        <f>((LCC總表!$O$27*(LCC總表!$O$29/100))*LCC總表!$O$30*(1+L$6))</f>
        <v>0</v>
      </c>
      <c r="AW9" s="55">
        <f>((LCC總表!$O$27*(LCC總表!$O$29/100))*LCC總表!$O$30*(1+M$6))</f>
        <v>0</v>
      </c>
      <c r="AX9" s="55">
        <f>((LCC總表!$O$27*(LCC總表!$O$29/100))*LCC總表!$O$30*(1+N$6))</f>
        <v>0</v>
      </c>
      <c r="AY9" s="55">
        <f>((LCC總表!$O$27*(LCC總表!$O$29/100))*LCC總表!$O$30*(1+O$6))</f>
        <v>0</v>
      </c>
      <c r="AZ9" s="55">
        <f>((LCC總表!$O$27*(LCC總表!$O$29/100))*LCC總表!$O$30*(1+P$6))</f>
        <v>0</v>
      </c>
      <c r="BA9" s="55">
        <f>((LCC總表!$O$27*(LCC總表!$O$29/100))*LCC總表!$O$30*(1+Q$6))</f>
        <v>0</v>
      </c>
      <c r="BB9" s="55">
        <f>((LCC總表!$O$27*(LCC總表!$O$29/100))*LCC總表!$O$30*(1+R$6))</f>
        <v>0</v>
      </c>
      <c r="BC9" s="55">
        <f>((LCC總表!$O$27*(LCC總表!$O$29/100))*LCC總表!$O$30*(1+S$6))</f>
        <v>0</v>
      </c>
      <c r="BD9" s="55">
        <f>((LCC總表!$O$27*(LCC總表!$O$29/100))*LCC總表!$O$30*(1+T$6))</f>
        <v>0</v>
      </c>
      <c r="BE9" s="55">
        <f>((LCC總表!$O$27*(LCC總表!$O$29/100))*LCC總表!$O$30*(1+U$6))</f>
        <v>0</v>
      </c>
      <c r="BF9" s="55">
        <f>((LCC總表!$O$27*(LCC總表!$O$29/100))*LCC總表!$O$30*(1+V$6))</f>
        <v>0</v>
      </c>
      <c r="BG9" s="55">
        <f>((LCC總表!$O$27*(LCC總表!$O$29/100))*LCC總表!$O$30*(1+W$6))</f>
        <v>0</v>
      </c>
      <c r="BH9" s="55">
        <f>((LCC總表!$O$27*(LCC總表!$O$29/100))*LCC總表!$O$30*(1+X$6))</f>
        <v>0</v>
      </c>
      <c r="BI9" s="55">
        <f>((LCC總表!$O$27*(LCC總表!$O$29/100))*LCC總表!$O$30*(1+Y$6))</f>
        <v>0</v>
      </c>
      <c r="BJ9" s="55">
        <f>((LCC總表!$O$27*(LCC總表!$O$29/100))*LCC總表!$O$30*(1+Z$6))</f>
        <v>0</v>
      </c>
      <c r="BK9" s="55">
        <f>SUM(AN9:INDEX(AN9:BJ9,LCC總表!$E$6+LCC總表!$E$9-2018))</f>
        <v>0</v>
      </c>
    </row>
    <row r="10" spans="1:63" ht="17.25" thickTop="1">
      <c r="A10" s="33" t="s">
        <v>54</v>
      </c>
      <c r="B10" s="31" t="s">
        <v>56</v>
      </c>
      <c r="C10" s="35" t="s">
        <v>62</v>
      </c>
      <c r="D10" s="16">
        <v>45.071682000000003</v>
      </c>
      <c r="E10" s="17">
        <v>46.477328999999997</v>
      </c>
      <c r="F10" s="17">
        <v>45.252789</v>
      </c>
      <c r="G10" s="17">
        <v>44.455196000000001</v>
      </c>
      <c r="H10" s="17">
        <v>45.702717</v>
      </c>
      <c r="I10" s="18">
        <v>47.502364999999998</v>
      </c>
      <c r="J10" s="17">
        <v>47.790886</v>
      </c>
      <c r="K10" s="17">
        <v>49.097907999999997</v>
      </c>
      <c r="L10" s="17">
        <v>50.53754</v>
      </c>
      <c r="M10" s="17">
        <v>50.797015999999999</v>
      </c>
      <c r="N10" s="19">
        <v>50.901179999999997</v>
      </c>
      <c r="O10" s="17">
        <v>51.292236000000003</v>
      </c>
      <c r="P10" s="19">
        <v>51.877346000000003</v>
      </c>
      <c r="Q10" s="17">
        <v>52.292487999999999</v>
      </c>
      <c r="R10" s="17">
        <v>52.739147000000003</v>
      </c>
      <c r="S10" s="17">
        <v>52.719726999999999</v>
      </c>
      <c r="T10" s="17">
        <v>52.590133999999999</v>
      </c>
      <c r="U10" s="17">
        <v>52.563271</v>
      </c>
      <c r="V10" s="17">
        <v>52.740310999999998</v>
      </c>
      <c r="W10" s="17">
        <v>53.023685</v>
      </c>
      <c r="X10" s="17">
        <v>52.696536999999999</v>
      </c>
      <c r="Y10" s="17">
        <v>52.411811999999998</v>
      </c>
      <c r="Z10" s="17">
        <v>52.048634</v>
      </c>
      <c r="AA10" s="17">
        <v>51.836421999999999</v>
      </c>
      <c r="AB10" s="17">
        <v>51.784996</v>
      </c>
      <c r="AC10" s="17">
        <v>51.368972999999997</v>
      </c>
      <c r="AD10" s="17">
        <v>51.044643000000001</v>
      </c>
      <c r="AE10" s="17">
        <v>50.876109999999997</v>
      </c>
      <c r="AF10" s="17">
        <v>50.718001999999998</v>
      </c>
      <c r="AG10" s="17">
        <v>50.474991000000003</v>
      </c>
      <c r="AH10" s="17">
        <v>50.175545</v>
      </c>
      <c r="AI10" s="17">
        <v>49.868313000000001</v>
      </c>
      <c r="AJ10" s="17">
        <v>49.435580999999999</v>
      </c>
      <c r="AM10" s="52" t="s">
        <v>103</v>
      </c>
      <c r="AN10" s="55">
        <f>IF(AN$3&gt;=LCC總表!$E$9,((LCC總表!$Q$27*(LCC總表!$Q$29/100))*LCC總表!$Q$30),0)</f>
        <v>0</v>
      </c>
      <c r="AO10" s="55">
        <f>((LCC總表!$Q$27*(LCC總表!$Q$29/100))*LCC總表!$Q$30*(1+E$6))</f>
        <v>0</v>
      </c>
      <c r="AP10" s="55">
        <f>((LCC總表!$Q$27*(LCC總表!$Q$29/100))*LCC總表!$Q$30*(1+F$6))</f>
        <v>0</v>
      </c>
      <c r="AQ10" s="55">
        <f>((LCC總表!$Q$27*(LCC總表!$Q$29/100))*LCC總表!$Q$30*(1+G$6))</f>
        <v>0</v>
      </c>
      <c r="AR10" s="55">
        <f>((LCC總表!$Q$27*(LCC總表!$Q$29/100))*LCC總表!$Q$30*(1+H$6))</f>
        <v>0</v>
      </c>
      <c r="AS10" s="55">
        <f>((LCC總表!$Q$27*(LCC總表!$Q$29/100))*LCC總表!$Q$30*(1+I$6))</f>
        <v>0</v>
      </c>
      <c r="AT10" s="55">
        <f>((LCC總表!$Q$27*(LCC總表!$Q$29/100))*LCC總表!$Q$30*(1+J$6))</f>
        <v>0</v>
      </c>
      <c r="AU10" s="55">
        <f>((LCC總表!$Q$27*(LCC總表!$Q$29/100))*LCC總表!$Q$30*(1+K$6))</f>
        <v>0</v>
      </c>
      <c r="AV10" s="55">
        <f>((LCC總表!$Q$27*(LCC總表!$Q$29/100))*LCC總表!$Q$30*(1+L$6))</f>
        <v>0</v>
      </c>
      <c r="AW10" s="55">
        <f>((LCC總表!$Q$27*(LCC總表!$Q$29/100))*LCC總表!$Q$30*(1+M$6))</f>
        <v>0</v>
      </c>
      <c r="AX10" s="55">
        <f>((LCC總表!$Q$27*(LCC總表!$Q$29/100))*LCC總表!$Q$30*(1+N$6))</f>
        <v>0</v>
      </c>
      <c r="AY10" s="55">
        <f>((LCC總表!$Q$27*(LCC總表!$Q$29/100))*LCC總表!$Q$30*(1+O$6))</f>
        <v>0</v>
      </c>
      <c r="AZ10" s="55">
        <f>((LCC總表!$Q$27*(LCC總表!$Q$29/100))*LCC總表!$Q$30*(1+P$6))</f>
        <v>0</v>
      </c>
      <c r="BA10" s="55">
        <f>((LCC總表!$Q$27*(LCC總表!$Q$29/100))*LCC總表!$Q$30*(1+Q$6))</f>
        <v>0</v>
      </c>
      <c r="BB10" s="55">
        <f>((LCC總表!$Q$27*(LCC總表!$Q$29/100))*LCC總表!$Q$30*(1+R$6))</f>
        <v>0</v>
      </c>
      <c r="BC10" s="55">
        <f>((LCC總表!$Q$27*(LCC總表!$Q$29/100))*LCC總表!$Q$30*(1+S$6))</f>
        <v>0</v>
      </c>
      <c r="BD10" s="55">
        <f>((LCC總表!$Q$27*(LCC總表!$Q$29/100))*LCC總表!$Q$30*(1+T$6))</f>
        <v>0</v>
      </c>
      <c r="BE10" s="55">
        <f>((LCC總表!$Q$27*(LCC總表!$Q$29/100))*LCC總表!$Q$30*(1+U$6))</f>
        <v>0</v>
      </c>
      <c r="BF10" s="55">
        <f>((LCC總表!$Q$27*(LCC總表!$Q$29/100))*LCC總表!$Q$30*(1+V$6))</f>
        <v>0</v>
      </c>
      <c r="BG10" s="55">
        <f>((LCC總表!$Q$27*(LCC總表!$Q$29/100))*LCC總表!$Q$30*(1+W$6))</f>
        <v>0</v>
      </c>
      <c r="BH10" s="55">
        <f>((LCC總表!$Q$27*(LCC總表!$Q$29/100))*LCC總表!$Q$30*(1+X$6))</f>
        <v>0</v>
      </c>
      <c r="BI10" s="55">
        <f>((LCC總表!$Q$27*(LCC總表!$Q$29/100))*LCC總表!$Q$30*(1+Y$6))</f>
        <v>0</v>
      </c>
      <c r="BJ10" s="55">
        <f>((LCC總表!$Q$27*(LCC總表!$Q$29/100))*LCC總表!$Q$30*(1+Z$6))</f>
        <v>0</v>
      </c>
      <c r="BK10" s="55">
        <f>SUM(AN10:INDEX(AN10:BJ10,LCC總表!$E$6+LCC總表!$E$9-2018))</f>
        <v>0</v>
      </c>
    </row>
    <row r="11" spans="1:63">
      <c r="A11" s="14"/>
      <c r="B11" s="15"/>
      <c r="C11" s="36" t="s">
        <v>63</v>
      </c>
      <c r="D11" s="34"/>
      <c r="E11" s="22">
        <f>(E10-D10)/D10</f>
        <v>3.1186921313475603E-2</v>
      </c>
      <c r="F11" s="22">
        <f t="shared" ref="F11:N11" si="44">(F10-E10)/E10</f>
        <v>-2.6347039004758592E-2</v>
      </c>
      <c r="G11" s="22">
        <f t="shared" si="44"/>
        <v>-1.7625278300526386E-2</v>
      </c>
      <c r="H11" s="22">
        <f t="shared" si="44"/>
        <v>2.8062433916611208E-2</v>
      </c>
      <c r="I11" s="23">
        <f t="shared" si="44"/>
        <v>3.937726503218611E-2</v>
      </c>
      <c r="J11" s="22">
        <f t="shared" si="44"/>
        <v>6.0738239032941399E-3</v>
      </c>
      <c r="K11" s="22">
        <f t="shared" si="44"/>
        <v>2.7348771060657806E-2</v>
      </c>
      <c r="L11" s="22">
        <f t="shared" si="44"/>
        <v>2.9321656637590409E-2</v>
      </c>
      <c r="M11" s="22">
        <f t="shared" si="44"/>
        <v>5.1343219317758516E-3</v>
      </c>
      <c r="N11" s="24">
        <f t="shared" si="44"/>
        <v>2.0505928930942964E-3</v>
      </c>
      <c r="O11" s="22">
        <f t="shared" ref="O11" si="45">(O10-N10)/N10</f>
        <v>7.6826509719422238E-3</v>
      </c>
      <c r="P11" s="24">
        <f t="shared" ref="P11:Q11" si="46">(P10-O10)/O10</f>
        <v>1.1407379471622181E-2</v>
      </c>
      <c r="Q11" s="22">
        <f t="shared" si="46"/>
        <v>8.0023754491988838E-3</v>
      </c>
      <c r="R11" s="22">
        <f t="shared" ref="R11" si="47">(R10-Q10)/Q10</f>
        <v>8.541551895561059E-3</v>
      </c>
      <c r="S11" s="22">
        <f t="shared" ref="S11" si="48">(S10-R10)/R10</f>
        <v>-3.6822741937793889E-4</v>
      </c>
      <c r="T11" s="22">
        <f t="shared" ref="T11" si="49">(T10-S10)/S10</f>
        <v>-2.4581500583263612E-3</v>
      </c>
      <c r="U11" s="22">
        <f t="shared" ref="U11" si="50">(U10-T10)/T10</f>
        <v>-5.1079923089754342E-4</v>
      </c>
      <c r="V11" s="22">
        <f t="shared" ref="V11" si="51">(V10-U10)/U10</f>
        <v>3.3681313326181335E-3</v>
      </c>
      <c r="W11" s="22">
        <f t="shared" ref="W11" si="52">(W10-V10)/V10</f>
        <v>5.37300585883921E-3</v>
      </c>
      <c r="X11" s="22">
        <f t="shared" ref="X11" si="53">(X10-W10)/W10</f>
        <v>-6.1698465506499801E-3</v>
      </c>
      <c r="Y11" s="22">
        <f t="shared" ref="Y11" si="54">(Y10-X10)/X10</f>
        <v>-5.4031064697857029E-3</v>
      </c>
      <c r="Z11" s="22">
        <f t="shared" ref="Z11" si="55">(Z10-Y10)/Y10</f>
        <v>-6.9293158572727425E-3</v>
      </c>
      <c r="AA11" s="22">
        <f t="shared" ref="AA11" si="56">(AA10-Z10)/Z10</f>
        <v>-4.0771867327008228E-3</v>
      </c>
      <c r="AB11" s="22">
        <f t="shared" ref="AB11" si="57">(AB10-AA10)/AA10</f>
        <v>-9.920823624747731E-4</v>
      </c>
      <c r="AC11" s="22">
        <f t="shared" ref="AC11" si="58">(AC10-AB10)/AB10</f>
        <v>-8.0336590158277248E-3</v>
      </c>
      <c r="AD11" s="22">
        <f t="shared" ref="AD11" si="59">(AD10-AC10)/AC10</f>
        <v>-6.3137333892191354E-3</v>
      </c>
      <c r="AE11" s="22">
        <f t="shared" ref="AE11" si="60">(AE10-AD10)/AD10</f>
        <v>-3.3016784934709721E-3</v>
      </c>
      <c r="AF11" s="22">
        <f t="shared" ref="AF11" si="61">(AF10-AE10)/AE10</f>
        <v>-3.1077061512760819E-3</v>
      </c>
      <c r="AG11" s="22">
        <f t="shared" ref="AG11" si="62">(AG10-AF10)/AF10</f>
        <v>-4.7914150876841649E-3</v>
      </c>
      <c r="AH11" s="22">
        <f t="shared" ref="AH11" si="63">(AH10-AG10)/AG10</f>
        <v>-5.9325617314127544E-3</v>
      </c>
      <c r="AI11" s="22">
        <f t="shared" ref="AI11" si="64">(AI10-AH10)/AH10</f>
        <v>-6.123142259839909E-3</v>
      </c>
      <c r="AJ11" s="22">
        <f t="shared" ref="AJ11" si="65">(AJ10-AI10)/AI10</f>
        <v>-8.6774942637422164E-3</v>
      </c>
      <c r="AM11" s="52" t="s">
        <v>104</v>
      </c>
      <c r="AN11" s="55">
        <f>IF(AN$3&gt;=LCC總表!$E$9,((LCC總表!$S$27*(LCC總表!$S$29/100))*LCC總表!$S$30),0)</f>
        <v>0</v>
      </c>
      <c r="AO11" s="55">
        <f>((LCC總表!$S$27*(LCC總表!$S$29/100))*LCC總表!$S$30*(1+E$6))</f>
        <v>0</v>
      </c>
      <c r="AP11" s="55">
        <f>((LCC總表!$S$27*(LCC總表!$S$29/100))*LCC總表!$S$30*(1+F$6))</f>
        <v>0</v>
      </c>
      <c r="AQ11" s="55">
        <f>((LCC總表!$S$27*(LCC總表!$S$29/100))*LCC總表!$S$30*(1+G$6))</f>
        <v>0</v>
      </c>
      <c r="AR11" s="55">
        <f>((LCC總表!$S$27*(LCC總表!$S$29/100))*LCC總表!$S$30*(1+H$6))</f>
        <v>0</v>
      </c>
      <c r="AS11" s="55">
        <f>((LCC總表!$S$27*(LCC總表!$S$29/100))*LCC總表!$S$30*(1+I$6))</f>
        <v>0</v>
      </c>
      <c r="AT11" s="55">
        <f>((LCC總表!$S$27*(LCC總表!$S$29/100))*LCC總表!$S$30*(1+J$6))</f>
        <v>0</v>
      </c>
      <c r="AU11" s="55">
        <f>((LCC總表!$S$27*(LCC總表!$S$29/100))*LCC總表!$S$30*(1+K$6))</f>
        <v>0</v>
      </c>
      <c r="AV11" s="55">
        <f>((LCC總表!$S$27*(LCC總表!$S$29/100))*LCC總表!$S$30*(1+L$6))</f>
        <v>0</v>
      </c>
      <c r="AW11" s="55">
        <f>((LCC總表!$S$27*(LCC總表!$S$29/100))*LCC總表!$S$30*(1+M$6))</f>
        <v>0</v>
      </c>
      <c r="AX11" s="55">
        <f>((LCC總表!$S$27*(LCC總表!$S$29/100))*LCC總表!$S$30*(1+N$6))</f>
        <v>0</v>
      </c>
      <c r="AY11" s="55">
        <f>((LCC總表!$S$27*(LCC總表!$S$29/100))*LCC總表!$S$30*(1+O$6))</f>
        <v>0</v>
      </c>
      <c r="AZ11" s="55">
        <f>((LCC總表!$S$27*(LCC總表!$S$29/100))*LCC總表!$S$30*(1+P$6))</f>
        <v>0</v>
      </c>
      <c r="BA11" s="55">
        <f>((LCC總表!$S$27*(LCC總表!$S$29/100))*LCC總表!$S$30*(1+Q$6))</f>
        <v>0</v>
      </c>
      <c r="BB11" s="55">
        <f>((LCC總表!$S$27*(LCC總表!$S$29/100))*LCC總表!$S$30*(1+R$6))</f>
        <v>0</v>
      </c>
      <c r="BC11" s="55">
        <f>((LCC總表!$S$27*(LCC總表!$S$29/100))*LCC總表!$S$30*(1+S$6))</f>
        <v>0</v>
      </c>
      <c r="BD11" s="55">
        <f>((LCC總表!$S$27*(LCC總表!$S$29/100))*LCC總表!$S$30*(1+T$6))</f>
        <v>0</v>
      </c>
      <c r="BE11" s="55">
        <f>((LCC總表!$S$27*(LCC總表!$S$29/100))*LCC總表!$S$30*(1+U$6))</f>
        <v>0</v>
      </c>
      <c r="BF11" s="55">
        <f>((LCC總表!$S$27*(LCC總表!$S$29/100))*LCC總表!$S$30*(1+V$6))</f>
        <v>0</v>
      </c>
      <c r="BG11" s="55">
        <f>((LCC總表!$S$27*(LCC總表!$S$29/100))*LCC總表!$S$30*(1+W$6))</f>
        <v>0</v>
      </c>
      <c r="BH11" s="55">
        <f>((LCC總表!$S$27*(LCC總表!$S$29/100))*LCC總表!$S$30*(1+X$6))</f>
        <v>0</v>
      </c>
      <c r="BI11" s="55">
        <f>((LCC總表!$S$27*(LCC總表!$S$29/100))*LCC總表!$S$30*(1+Y$6))</f>
        <v>0</v>
      </c>
      <c r="BJ11" s="55">
        <f>((LCC總表!$S$27*(LCC總表!$S$29/100))*LCC總表!$S$30*(1+Z$6))</f>
        <v>0</v>
      </c>
      <c r="BK11" s="55">
        <f>SUM(AN11:INDEX(AN11:BJ11,LCC總表!$E$6+LCC總表!$E$9-2018))</f>
        <v>0</v>
      </c>
    </row>
    <row r="12" spans="1:63" ht="17.25" thickBot="1">
      <c r="A12" s="25"/>
      <c r="B12" s="26"/>
      <c r="C12" s="37" t="s">
        <v>64</v>
      </c>
      <c r="D12" s="27"/>
      <c r="E12" s="28">
        <f>IF(LCC總表!$E$9&lt;能源價格!E$3,E11+D12,0)</f>
        <v>0</v>
      </c>
      <c r="F12" s="28">
        <f>IF(LCC總表!$E$9&lt;能源價格!F$3,F11+E12,0)</f>
        <v>-2.6347039004758592E-2</v>
      </c>
      <c r="G12" s="28">
        <f>IF(LCC總表!$E$9&lt;能源價格!G$3,G11+F12,0)</f>
        <v>-4.3972317305284975E-2</v>
      </c>
      <c r="H12" s="28">
        <f>IF(LCC總表!$E$9&lt;能源價格!H$3,H11+G12,0)</f>
        <v>-1.5909883388673766E-2</v>
      </c>
      <c r="I12" s="43">
        <f>IF(LCC總表!$E$9&lt;能源價格!I$3,I11+H12,0)</f>
        <v>2.3467381643512343E-2</v>
      </c>
      <c r="J12" s="28">
        <f>IF(LCC總表!$E$9&lt;能源價格!J$3,J11+I12,0)</f>
        <v>2.9541205546806483E-2</v>
      </c>
      <c r="K12" s="28">
        <f>IF(LCC總表!$E$9&lt;能源價格!K$3,K11+J12,0)</f>
        <v>5.6889976607464289E-2</v>
      </c>
      <c r="L12" s="28">
        <f>IF(LCC總表!$E$9&lt;能源價格!L$3,L11+K12,0)</f>
        <v>8.6211633245054695E-2</v>
      </c>
      <c r="M12" s="28">
        <f>IF(LCC總表!$E$9&lt;能源價格!M$3,M11+L12,0)</f>
        <v>9.1345955176830543E-2</v>
      </c>
      <c r="N12" s="43">
        <f>IF(LCC總表!$E$9&lt;能源價格!N$3,N11+M12,0)</f>
        <v>9.339654806992484E-2</v>
      </c>
      <c r="O12" s="28">
        <f>IF(LCC總表!$E$9&lt;能源價格!O$3,O11+N12,0)</f>
        <v>0.10107919904186706</v>
      </c>
      <c r="P12" s="43">
        <f>IF(LCC總表!$E$9&lt;能源價格!P$3,P11+O12,0)</f>
        <v>0.11248657851348924</v>
      </c>
      <c r="Q12" s="28">
        <f>IF(LCC總表!$E$9&lt;能源價格!Q$3,Q11+P12,0)</f>
        <v>0.12048895396268812</v>
      </c>
      <c r="R12" s="28">
        <f>IF(LCC總表!$E$9&lt;能源價格!R$3,R11+Q12,0)</f>
        <v>0.12903050585824918</v>
      </c>
      <c r="S12" s="28">
        <f>IF(LCC總表!$E$9&lt;能源價格!S$3,S11+R12,0)</f>
        <v>0.12866227843887124</v>
      </c>
      <c r="T12" s="28">
        <f>IF(LCC總表!$E$9&lt;能源價格!T$3,T11+S12,0)</f>
        <v>0.12620412838054487</v>
      </c>
      <c r="U12" s="28">
        <f>IF(LCC總表!$E$9&lt;能源價格!U$3,U11+T12,0)</f>
        <v>0.12569332914964731</v>
      </c>
      <c r="V12" s="28">
        <f>IF(LCC總表!$E$9&lt;能源價格!V$3,V11+U12,0)</f>
        <v>0.12906146048226544</v>
      </c>
      <c r="W12" s="28">
        <f>IF(LCC總表!$E$9&lt;能源價格!W$3,W11+V12,0)</f>
        <v>0.13443446634110465</v>
      </c>
      <c r="X12" s="28">
        <f>IF(LCC總表!$E$9&lt;能源價格!X$3,X11+W12,0)</f>
        <v>0.12826461979045467</v>
      </c>
      <c r="Y12" s="28">
        <f>IF(LCC總表!$E$9&lt;能源價格!Y$3,Y11+X12,0)</f>
        <v>0.12286151332066897</v>
      </c>
      <c r="Z12" s="28">
        <f>IF(LCC總表!$E$9&lt;能源價格!Z$3,Z11+Y12,0)</f>
        <v>0.11593219746339622</v>
      </c>
      <c r="AA12" s="28">
        <f>IF(LCC總表!$E$9&lt;能源價格!AA$3,AA11+Z12,0)</f>
        <v>0.1118550107306954</v>
      </c>
      <c r="AB12" s="28">
        <f>IF(LCC總表!$E$9&lt;能源價格!AB$3,AB11+AA12,0)</f>
        <v>0.11086292836822062</v>
      </c>
      <c r="AC12" s="28">
        <f>IF(LCC總表!$E$9&lt;能源價格!AC$3,AC11+AB12,0)</f>
        <v>0.10282926935239289</v>
      </c>
      <c r="AD12" s="28">
        <f>IF(LCC總表!$E$9&lt;能源價格!AD$3,AD11+AC12,0)</f>
        <v>9.6515535963173762E-2</v>
      </c>
      <c r="AE12" s="28">
        <f>IF(LCC總表!$E$9&lt;能源價格!AE$3,AE11+AD12,0)</f>
        <v>9.3213857469702788E-2</v>
      </c>
      <c r="AF12" s="28">
        <f>IF(LCC總表!$E$9&lt;能源價格!AF$3,AF11+AE12,0)</f>
        <v>9.0106151318426711E-2</v>
      </c>
      <c r="AG12" s="28">
        <f>IF(LCC總表!$E$9&lt;能源價格!AG$3,AG11+AF12,0)</f>
        <v>8.5314736230742552E-2</v>
      </c>
      <c r="AH12" s="28">
        <f>IF(LCC總表!$E$9&lt;能源價格!AH$3,AH11+AG12,0)</f>
        <v>7.93821744993298E-2</v>
      </c>
      <c r="AI12" s="28">
        <f>IF(LCC總表!$E$9&lt;能源價格!AI$3,AI11+AH12,0)</f>
        <v>7.3259032239489888E-2</v>
      </c>
      <c r="AJ12" s="28">
        <f>IF(LCC總表!$E$9&lt;能源價格!AJ$3,AJ11+AI12,0)</f>
        <v>6.4581537975747672E-2</v>
      </c>
      <c r="AM12" s="52" t="s">
        <v>105</v>
      </c>
      <c r="AN12" s="55">
        <f>IF(AN$3&gt;=LCC總表!$E$9,((LCC總表!$U$27*(LCC總表!$U$29/100))*LCC總表!$U$30),0)</f>
        <v>0</v>
      </c>
      <c r="AO12" s="55">
        <f>((LCC總表!$U$27*(LCC總表!$U$29/100))*LCC總表!$U$30*(1+E$6))</f>
        <v>0</v>
      </c>
      <c r="AP12" s="55">
        <f>((LCC總表!$U$27*(LCC總表!$U$29/100))*LCC總表!$U$30*(1+F$6))</f>
        <v>0</v>
      </c>
      <c r="AQ12" s="55">
        <f>((LCC總表!$U$27*(LCC總表!$U$29/100))*LCC總表!$U$30*(1+G$6))</f>
        <v>0</v>
      </c>
      <c r="AR12" s="55">
        <f>((LCC總表!$U$27*(LCC總表!$U$29/100))*LCC總表!$U$30*(1+H$6))</f>
        <v>0</v>
      </c>
      <c r="AS12" s="55">
        <f>((LCC總表!$U$27*(LCC總表!$U$29/100))*LCC總表!$U$30*(1+I$6))</f>
        <v>0</v>
      </c>
      <c r="AT12" s="55">
        <f>((LCC總表!$U$27*(LCC總表!$U$29/100))*LCC總表!$U$30*(1+J$6))</f>
        <v>0</v>
      </c>
      <c r="AU12" s="55">
        <f>((LCC總表!$U$27*(LCC總表!$U$29/100))*LCC總表!$U$30*(1+K$6))</f>
        <v>0</v>
      </c>
      <c r="AV12" s="55">
        <f>((LCC總表!$U$27*(LCC總表!$U$29/100))*LCC總表!$U$30*(1+L$6))</f>
        <v>0</v>
      </c>
      <c r="AW12" s="55">
        <f>((LCC總表!$U$27*(LCC總表!$U$29/100))*LCC總表!$U$30*(1+M$6))</f>
        <v>0</v>
      </c>
      <c r="AX12" s="55">
        <f>((LCC總表!$U$27*(LCC總表!$U$29/100))*LCC總表!$U$30*(1+N$6))</f>
        <v>0</v>
      </c>
      <c r="AY12" s="55">
        <f>((LCC總表!$U$27*(LCC總表!$U$29/100))*LCC總表!$U$30*(1+O$6))</f>
        <v>0</v>
      </c>
      <c r="AZ12" s="55">
        <f>((LCC總表!$U$27*(LCC總表!$U$29/100))*LCC總表!$U$30*(1+P$6))</f>
        <v>0</v>
      </c>
      <c r="BA12" s="55">
        <f>((LCC總表!$U$27*(LCC總表!$U$29/100))*LCC總表!$U$30*(1+Q$6))</f>
        <v>0</v>
      </c>
      <c r="BB12" s="55">
        <f>((LCC總表!$U$27*(LCC總表!$U$29/100))*LCC總表!$U$30*(1+R$6))</f>
        <v>0</v>
      </c>
      <c r="BC12" s="55">
        <f>((LCC總表!$U$27*(LCC總表!$U$29/100))*LCC總表!$U$30*(1+S$6))</f>
        <v>0</v>
      </c>
      <c r="BD12" s="55">
        <f>((LCC總表!$U$27*(LCC總表!$U$29/100))*LCC總表!$U$30*(1+T$6))</f>
        <v>0</v>
      </c>
      <c r="BE12" s="55">
        <f>((LCC總表!$U$27*(LCC總表!$U$29/100))*LCC總表!$U$30*(1+U$6))</f>
        <v>0</v>
      </c>
      <c r="BF12" s="55">
        <f>((LCC總表!$U$27*(LCC總表!$U$29/100))*LCC總表!$U$30*(1+V$6))</f>
        <v>0</v>
      </c>
      <c r="BG12" s="55">
        <f>((LCC總表!$U$27*(LCC總表!$U$29/100))*LCC總表!$U$30*(1+W$6))</f>
        <v>0</v>
      </c>
      <c r="BH12" s="55">
        <f>((LCC總表!$U$27*(LCC總表!$U$29/100))*LCC總表!$U$30*(1+X$6))</f>
        <v>0</v>
      </c>
      <c r="BI12" s="55">
        <f>((LCC總表!$U$27*(LCC總表!$U$29/100))*LCC總表!$U$30*(1+Y$6))</f>
        <v>0</v>
      </c>
      <c r="BJ12" s="55">
        <f>((LCC總表!$U$27*(LCC總表!$U$29/100))*LCC總表!$U$30*(1+Z$6))</f>
        <v>0</v>
      </c>
      <c r="BK12" s="55">
        <f>SUM(AN12:INDEX(AN12:BJ12,LCC總表!$E$6+LCC總表!$E$9-2018))</f>
        <v>0</v>
      </c>
    </row>
    <row r="13" spans="1:63" ht="17.25" thickTop="1">
      <c r="A13" s="33" t="s">
        <v>132</v>
      </c>
      <c r="B13" s="31" t="s">
        <v>167</v>
      </c>
      <c r="C13" s="35" t="s">
        <v>62</v>
      </c>
      <c r="D13" s="16">
        <v>176</v>
      </c>
      <c r="E13" s="17">
        <v>158</v>
      </c>
      <c r="F13" s="17">
        <v>143</v>
      </c>
      <c r="G13" s="17">
        <v>131</v>
      </c>
      <c r="H13" s="17">
        <v>121</v>
      </c>
      <c r="I13" s="18">
        <v>112</v>
      </c>
      <c r="J13" s="17">
        <v>104</v>
      </c>
      <c r="K13" s="17">
        <v>96</v>
      </c>
      <c r="L13" s="17">
        <v>90</v>
      </c>
      <c r="M13" s="17">
        <v>84</v>
      </c>
      <c r="N13" s="19">
        <v>79</v>
      </c>
      <c r="O13" s="17">
        <v>74</v>
      </c>
      <c r="P13" s="19">
        <v>70</v>
      </c>
      <c r="Q13" s="17">
        <v>69</v>
      </c>
      <c r="R13" s="17">
        <v>66</v>
      </c>
      <c r="S13" s="17">
        <v>64</v>
      </c>
      <c r="T13" s="17">
        <v>62</v>
      </c>
      <c r="U13" s="17">
        <v>59</v>
      </c>
      <c r="V13" s="17">
        <v>58</v>
      </c>
      <c r="W13" s="17">
        <v>56</v>
      </c>
      <c r="X13" s="17">
        <v>54</v>
      </c>
      <c r="Y13" s="17">
        <v>53</v>
      </c>
      <c r="Z13" s="17">
        <v>51</v>
      </c>
      <c r="AA13" s="17" t="s">
        <v>133</v>
      </c>
      <c r="AB13" s="17" t="s">
        <v>133</v>
      </c>
      <c r="AC13" s="17" t="s">
        <v>133</v>
      </c>
      <c r="AD13" s="17" t="s">
        <v>133</v>
      </c>
      <c r="AE13" s="17" t="s">
        <v>133</v>
      </c>
      <c r="AF13" s="17" t="s">
        <v>133</v>
      </c>
      <c r="AG13" s="17" t="s">
        <v>133</v>
      </c>
      <c r="AH13" s="17" t="s">
        <v>133</v>
      </c>
      <c r="AI13" s="17" t="s">
        <v>133</v>
      </c>
      <c r="AJ13" s="17" t="s">
        <v>133</v>
      </c>
      <c r="AM13" s="52" t="s">
        <v>106</v>
      </c>
      <c r="AN13" s="55">
        <f>IF(AN$3&gt;=LCC總表!$E$9,((LCC總表!$W$27*(LCC總表!$W$29/100))*LCC總表!$W$30),0)</f>
        <v>0</v>
      </c>
      <c r="AO13" s="55">
        <f>((LCC總表!$W$27*(LCC總表!$W$29/100))*LCC總表!$W$30*(1+E$6))</f>
        <v>0</v>
      </c>
      <c r="AP13" s="55">
        <f>((LCC總表!$W$27*(LCC總表!$W$29/100))*LCC總表!$W$30*(1+F$6))</f>
        <v>0</v>
      </c>
      <c r="AQ13" s="55">
        <f>((LCC總表!$W$27*(LCC總表!$W$29/100))*LCC總表!$W$30*(1+G$6))</f>
        <v>0</v>
      </c>
      <c r="AR13" s="55">
        <f>((LCC總表!$W$27*(LCC總表!$W$29/100))*LCC總表!$W$30*(1+H$6))</f>
        <v>0</v>
      </c>
      <c r="AS13" s="55">
        <f>((LCC總表!$W$27*(LCC總表!$W$29/100))*LCC總表!$W$30*(1+I$6))</f>
        <v>0</v>
      </c>
      <c r="AT13" s="55">
        <f>((LCC總表!$W$27*(LCC總表!$W$29/100))*LCC總表!$W$30*(1+J$6))</f>
        <v>0</v>
      </c>
      <c r="AU13" s="55">
        <f>((LCC總表!$W$27*(LCC總表!$W$29/100))*LCC總表!$W$30*(1+K$6))</f>
        <v>0</v>
      </c>
      <c r="AV13" s="55">
        <f>((LCC總表!$W$27*(LCC總表!$W$29/100))*LCC總表!$W$30*(1+L$6))</f>
        <v>0</v>
      </c>
      <c r="AW13" s="55">
        <f>((LCC總表!$W$27*(LCC總表!$W$29/100))*LCC總表!$W$30*(1+M$6))</f>
        <v>0</v>
      </c>
      <c r="AX13" s="55">
        <f>((LCC總表!$W$27*(LCC總表!$W$29/100))*LCC總表!$W$30*(1+N$6))</f>
        <v>0</v>
      </c>
      <c r="AY13" s="55">
        <f>((LCC總表!$W$27*(LCC總表!$W$29/100))*LCC總表!$W$30*(1+O$6))</f>
        <v>0</v>
      </c>
      <c r="AZ13" s="55">
        <f>((LCC總表!$W$27*(LCC總表!$W$29/100))*LCC總表!$W$30*(1+P$6))</f>
        <v>0</v>
      </c>
      <c r="BA13" s="55">
        <f>((LCC總表!$W$27*(LCC總表!$W$29/100))*LCC總表!$W$30*(1+Q$6))</f>
        <v>0</v>
      </c>
      <c r="BB13" s="55">
        <f>((LCC總表!$W$27*(LCC總表!$W$29/100))*LCC總表!$W$30*(1+R$6))</f>
        <v>0</v>
      </c>
      <c r="BC13" s="55">
        <f>((LCC總表!$W$27*(LCC總表!$W$29/100))*LCC總表!$W$30*(1+S$6))</f>
        <v>0</v>
      </c>
      <c r="BD13" s="55">
        <f>((LCC總表!$W$27*(LCC總表!$W$29/100))*LCC總表!$W$30*(1+T$6))</f>
        <v>0</v>
      </c>
      <c r="BE13" s="55">
        <f>((LCC總表!$W$27*(LCC總表!$W$29/100))*LCC總表!$W$30*(1+U$6))</f>
        <v>0</v>
      </c>
      <c r="BF13" s="55">
        <f>((LCC總表!$W$27*(LCC總表!$W$29/100))*LCC總表!$W$30*(1+V$6))</f>
        <v>0</v>
      </c>
      <c r="BG13" s="55">
        <f>((LCC總表!$W$27*(LCC總表!$W$29/100))*LCC總表!$W$30*(1+W$6))</f>
        <v>0</v>
      </c>
      <c r="BH13" s="55">
        <f>((LCC總表!$W$27*(LCC總表!$W$29/100))*LCC總表!$W$30*(1+X$6))</f>
        <v>0</v>
      </c>
      <c r="BI13" s="55">
        <f>((LCC總表!$W$27*(LCC總表!$W$29/100))*LCC總表!$W$30*(1+Y$6))</f>
        <v>0</v>
      </c>
      <c r="BJ13" s="55">
        <f>((LCC總表!$W$27*(LCC總表!$W$29/100))*LCC總表!$W$30*(1+Z$6))</f>
        <v>0</v>
      </c>
      <c r="BK13" s="55">
        <f>SUM(AN13:INDEX(AN13:BJ13,LCC總表!$E$6+LCC總表!$E$9-2018))</f>
        <v>0</v>
      </c>
    </row>
    <row r="14" spans="1:63">
      <c r="A14" s="14"/>
      <c r="B14" s="15"/>
      <c r="C14" s="36" t="s">
        <v>63</v>
      </c>
      <c r="D14" s="34"/>
      <c r="E14" s="22">
        <f>(E13-D13)/D13</f>
        <v>-0.10227272727272728</v>
      </c>
      <c r="F14" s="22">
        <f t="shared" ref="F14" si="66">(F13-E13)/E13</f>
        <v>-9.49367088607595E-2</v>
      </c>
      <c r="G14" s="22">
        <f t="shared" ref="G14" si="67">(G13-F13)/F13</f>
        <v>-8.3916083916083919E-2</v>
      </c>
      <c r="H14" s="22">
        <f t="shared" ref="H14" si="68">(H13-G13)/G13</f>
        <v>-7.6335877862595422E-2</v>
      </c>
      <c r="I14" s="23">
        <f t="shared" ref="I14" si="69">(I13-H13)/H13</f>
        <v>-7.43801652892562E-2</v>
      </c>
      <c r="J14" s="22">
        <f t="shared" ref="J14" si="70">(J13-I13)/I13</f>
        <v>-7.1428571428571425E-2</v>
      </c>
      <c r="K14" s="22">
        <f t="shared" ref="K14" si="71">(K13-J13)/J13</f>
        <v>-7.6923076923076927E-2</v>
      </c>
      <c r="L14" s="22">
        <f t="shared" ref="L14" si="72">(L13-K13)/K13</f>
        <v>-6.25E-2</v>
      </c>
      <c r="M14" s="22">
        <f t="shared" ref="M14" si="73">(M13-L13)/L13</f>
        <v>-6.6666666666666666E-2</v>
      </c>
      <c r="N14" s="24">
        <f t="shared" ref="N14" si="74">(N13-M13)/M13</f>
        <v>-5.9523809523809521E-2</v>
      </c>
      <c r="O14" s="22">
        <f t="shared" ref="O14" si="75">(O13-N13)/N13</f>
        <v>-6.3291139240506333E-2</v>
      </c>
      <c r="P14" s="24">
        <f t="shared" ref="P14" si="76">(P13-O13)/O13</f>
        <v>-5.4054054054054057E-2</v>
      </c>
      <c r="Q14" s="22">
        <f t="shared" ref="Q14" si="77">(Q13-P13)/P13</f>
        <v>-1.4285714285714285E-2</v>
      </c>
      <c r="R14" s="22">
        <f t="shared" ref="R14" si="78">(R13-Q13)/Q13</f>
        <v>-4.3478260869565216E-2</v>
      </c>
      <c r="S14" s="22">
        <f t="shared" ref="S14" si="79">(S13-R13)/R13</f>
        <v>-3.0303030303030304E-2</v>
      </c>
      <c r="T14" s="22">
        <f t="shared" ref="T14" si="80">(T13-S13)/S13</f>
        <v>-3.125E-2</v>
      </c>
      <c r="U14" s="22">
        <f t="shared" ref="U14" si="81">(U13-T13)/T13</f>
        <v>-4.8387096774193547E-2</v>
      </c>
      <c r="V14" s="22">
        <f t="shared" ref="V14" si="82">(V13-U13)/U13</f>
        <v>-1.6949152542372881E-2</v>
      </c>
      <c r="W14" s="22">
        <f t="shared" ref="W14" si="83">(W13-V13)/V13</f>
        <v>-3.4482758620689655E-2</v>
      </c>
      <c r="X14" s="22">
        <f t="shared" ref="X14" si="84">(X13-W13)/W13</f>
        <v>-3.5714285714285712E-2</v>
      </c>
      <c r="Y14" s="22">
        <f t="shared" ref="Y14" si="85">(Y13-X13)/X13</f>
        <v>-1.8518518518518517E-2</v>
      </c>
      <c r="Z14" s="22">
        <f t="shared" ref="Z14" si="86">(Z13-Y13)/Y13</f>
        <v>-3.7735849056603772E-2</v>
      </c>
      <c r="AA14" s="22"/>
      <c r="AB14" s="22"/>
      <c r="AC14" s="22"/>
      <c r="AD14" s="22"/>
      <c r="AE14" s="22"/>
      <c r="AF14" s="22"/>
      <c r="AG14" s="22"/>
      <c r="AH14" s="22"/>
      <c r="AI14" s="22"/>
      <c r="AJ14" s="22"/>
    </row>
    <row r="15" spans="1:63" ht="18.75" customHeight="1" thickBot="1">
      <c r="A15" s="25"/>
      <c r="B15" s="26"/>
      <c r="C15" s="37" t="s">
        <v>64</v>
      </c>
      <c r="D15" s="27"/>
      <c r="E15" s="28">
        <f>IF(LCC總表!$E$9&lt;能源價格!E$3,E14+D15,0)</f>
        <v>0</v>
      </c>
      <c r="F15" s="28">
        <f>IF(LCC總表!$E$9&lt;能源價格!F$3,F14+E15,0)</f>
        <v>-9.49367088607595E-2</v>
      </c>
      <c r="G15" s="28">
        <f>IF(LCC總表!$E$9&lt;能源價格!G$3,G14+F15,0)</f>
        <v>-0.17885279277684341</v>
      </c>
      <c r="H15" s="28">
        <f>IF(LCC總表!$E$9&lt;能源價格!H$3,H14+G15,0)</f>
        <v>-0.25518867063943884</v>
      </c>
      <c r="I15" s="43">
        <f>IF(LCC總表!$E$9&lt;能源價格!I$3,I14+H15,0)</f>
        <v>-0.32956883592869501</v>
      </c>
      <c r="J15" s="28">
        <f>IF(LCC總表!$E$9&lt;能源價格!J$3,J14+I15,0)</f>
        <v>-0.40099740735726641</v>
      </c>
      <c r="K15" s="28">
        <f>IF(LCC總表!$E$9&lt;能源價格!K$3,K14+J15,0)</f>
        <v>-0.47792048428034334</v>
      </c>
      <c r="L15" s="28">
        <f>IF(LCC總表!$E$9&lt;能源價格!L$3,L14+K15,0)</f>
        <v>-0.54042048428034328</v>
      </c>
      <c r="M15" s="28">
        <f>IF(LCC總表!$E$9&lt;能源價格!M$3,M14+L15,0)</f>
        <v>-0.60708715094700993</v>
      </c>
      <c r="N15" s="43">
        <f>IF(LCC總表!$E$9&lt;能源價格!N$3,N14+M15,0)</f>
        <v>-0.66661096047081947</v>
      </c>
      <c r="O15" s="28">
        <f>IF(LCC總表!$E$9&lt;能源價格!O$3,O14+N15,0)</f>
        <v>-0.7299020997113258</v>
      </c>
      <c r="P15" s="43">
        <f>IF(LCC總表!$E$9&lt;能源價格!P$3,P14+O15,0)</f>
        <v>-0.78395615376537986</v>
      </c>
      <c r="Q15" s="28">
        <f>IF(LCC總表!$E$9&lt;能源價格!Q$3,Q14+P15,0)</f>
        <v>-0.79824186805109409</v>
      </c>
      <c r="R15" s="28">
        <f>IF(LCC總表!$E$9&lt;能源價格!R$3,R14+Q15,0)</f>
        <v>-0.84172012892065928</v>
      </c>
      <c r="S15" s="28">
        <f>IF(LCC總表!$E$9&lt;能源價格!S$3,S14+R15,0)</f>
        <v>-0.87202315922368956</v>
      </c>
      <c r="T15" s="28">
        <f>IF(LCC總表!$E$9&lt;能源價格!T$3,T14+S15,0)</f>
        <v>-0.90327315922368956</v>
      </c>
      <c r="U15" s="28">
        <f>IF(LCC總表!$E$9&lt;能源價格!U$3,U14+T15,0)</f>
        <v>-0.95166025599788306</v>
      </c>
      <c r="V15" s="28">
        <f>IF(LCC總表!$E$9&lt;能源價格!V$3,V14+U15,0)</f>
        <v>-0.9686094085402559</v>
      </c>
      <c r="W15" s="28">
        <f>IF(LCC總表!$E$9&lt;能源價格!W$3,W14+V15,0)</f>
        <v>-1.0030921671609456</v>
      </c>
      <c r="X15" s="28">
        <f>IF(LCC總表!$E$9&lt;能源價格!X$3,X14+W15,0)</f>
        <v>-1.0388064528752314</v>
      </c>
      <c r="Y15" s="28">
        <f>IF(LCC總表!$E$9&lt;能源價格!Y$3,Y14+X15,0)</f>
        <v>-1.05732497139375</v>
      </c>
      <c r="Z15" s="28">
        <f>IF(LCC總表!$E$9&lt;能源價格!Z$3,Z14+Y15,0)</f>
        <v>-1.0950608204503538</v>
      </c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M15" s="53" t="s">
        <v>52</v>
      </c>
      <c r="AN15" s="51">
        <v>2018</v>
      </c>
      <c r="AO15" s="51">
        <v>2019</v>
      </c>
      <c r="AP15" s="51">
        <v>2020</v>
      </c>
      <c r="AQ15" s="51">
        <v>2021</v>
      </c>
      <c r="AR15" s="51">
        <v>2022</v>
      </c>
      <c r="AS15" s="51">
        <v>2023</v>
      </c>
      <c r="AT15" s="51">
        <v>2024</v>
      </c>
      <c r="AU15" s="51">
        <v>2025</v>
      </c>
      <c r="AV15" s="51">
        <v>2026</v>
      </c>
      <c r="AW15" s="51">
        <v>2027</v>
      </c>
      <c r="AX15" s="51">
        <v>2028</v>
      </c>
      <c r="AY15" s="51">
        <v>2029</v>
      </c>
      <c r="AZ15" s="51">
        <v>2030</v>
      </c>
      <c r="BA15" s="51">
        <v>2031</v>
      </c>
      <c r="BB15" s="51">
        <v>2032</v>
      </c>
      <c r="BC15" s="51">
        <v>2033</v>
      </c>
      <c r="BD15" s="51">
        <v>2034</v>
      </c>
      <c r="BE15" s="51">
        <v>2035</v>
      </c>
      <c r="BF15" s="51">
        <v>2036</v>
      </c>
      <c r="BG15" s="51">
        <v>2037</v>
      </c>
      <c r="BH15" s="51">
        <v>2038</v>
      </c>
      <c r="BI15" s="51">
        <v>2039</v>
      </c>
      <c r="BJ15" s="51">
        <v>2040</v>
      </c>
      <c r="BK15" s="66" t="s">
        <v>116</v>
      </c>
    </row>
    <row r="16" spans="1:63" ht="17.25" thickTop="1">
      <c r="AM16" s="52" t="s">
        <v>97</v>
      </c>
      <c r="AN16" s="55">
        <f>IF($AN$15&gt;=LCC總表!$E$9,(((LCC總表!$E$27*(LCC總表!$E$29/100))*LCC總表!$E$30)),0)</f>
        <v>0</v>
      </c>
      <c r="AO16" s="55">
        <f>IF(AO$15&gt;=LCC總表!$E$9,((LCC總表!$E$27*(LCC總表!$E$29/100))*(LCC總表!$E$30*(1+E$9))),0)</f>
        <v>101421.6447</v>
      </c>
      <c r="AP16" s="55">
        <f>IF(AP$15&gt;=LCC總表!$E$9,((LCC總表!$E$27*(LCC總表!$E$29/100))*(LCC總表!$E$30*(1+F$9))),0)</f>
        <v>105056.44147078339</v>
      </c>
      <c r="AQ16" s="55">
        <f>IF(AQ$15&gt;=LCC總表!$E$9,((LCC總表!$E$27*(LCC總表!$E$29/100))*(LCC總表!$E$30*(1+G$9))),0)</f>
        <v>106693.05392362604</v>
      </c>
      <c r="AR16" s="55">
        <f>IF(AR$15&gt;=LCC總表!$E$9,((LCC總表!$E$27*(LCC總表!$E$29/100))*(LCC總表!$E$30*(1+H$9))),0)</f>
        <v>106686.08066493006</v>
      </c>
      <c r="AS16" s="55">
        <f>IF(AS$15&gt;=LCC總表!$E$9,((LCC總表!$E$27*(LCC總表!$E$29/100))*(LCC總表!$E$30*(1+I$9))),0)</f>
        <v>108408.31475854649</v>
      </c>
      <c r="AT16" s="55">
        <f>IF(AT$15&gt;=LCC總表!$E$9,((LCC總表!$E$27*(LCC總表!$E$29/100))*(LCC總表!$E$30*(1+J$9))),0)</f>
        <v>110426.93622935012</v>
      </c>
      <c r="AU16" s="55">
        <f>IF(AU$15&gt;=LCC總表!$E$9,((LCC總表!$E$27*(LCC總表!$E$29/100))*(LCC總表!$E$30*(1+K$9))),0)</f>
        <v>111505.39141507176</v>
      </c>
      <c r="AV16" s="55">
        <f>IF(AV$15&gt;=LCC總表!$E$9,((LCC總表!$E$27*(LCC總表!$E$29/100))*(LCC總表!$E$30*(1+L$9))),0)</f>
        <v>112328.96445873464</v>
      </c>
      <c r="AW16" s="55">
        <f>IF(AW$15&gt;=LCC總表!$E$9,((LCC總表!$E$27*(LCC總表!$E$29/100))*(LCC總表!$E$30*(1+M$9))),0)</f>
        <v>114188.16932253179</v>
      </c>
      <c r="AX16" s="55">
        <f>IF(AX$15&gt;=LCC總表!$E$9,((LCC總表!$E$27*(LCC總表!$E$29/100))*(LCC總表!$E$30*(1+N$9))),0)</f>
        <v>114872.71488215648</v>
      </c>
      <c r="AY16" s="55">
        <f>IF(AY$15&gt;=LCC總表!$E$9,((LCC總表!$E$27*(LCC總表!$E$29/100))*(LCC總表!$E$30*(1+O$9))),0)</f>
        <v>126329.49514222721</v>
      </c>
      <c r="AZ16" s="55">
        <f>IF(AZ$15&gt;=LCC總表!$E$9,((LCC總表!$E$27*(LCC總表!$E$29/100))*(LCC總表!$E$30*(1+P$9))),0)</f>
        <v>126543.73414499417</v>
      </c>
      <c r="BA16" s="55">
        <f>IF(BA$15&gt;=LCC總表!$E$9,((LCC總表!$E$27*(LCC總表!$E$29/100))*(LCC總表!$E$30*(1+Q$9))),0)</f>
        <v>128642.77871536341</v>
      </c>
      <c r="BB16" s="55">
        <f>IF(BB$15&gt;=LCC總表!$E$9,((LCC總表!$E$27*(LCC總表!$E$29/100))*(LCC總表!$E$30*(1+R$9))),0)</f>
        <v>129382.46175661265</v>
      </c>
      <c r="BC16" s="55">
        <f>IF(BC$15&gt;=LCC總表!$E$9,((LCC總表!$E$27*(LCC總表!$E$29/100))*(LCC總表!$E$30*(1+S$9))),0)</f>
        <v>129537.25751731686</v>
      </c>
      <c r="BD16" s="55">
        <f>IF(BD$15&gt;=LCC總表!$E$9,((LCC總表!$E$27*(LCC總表!$E$29/100))*(LCC總表!$E$30*(1+T$9))),0)</f>
        <v>130214.03739880037</v>
      </c>
      <c r="BE16" s="55">
        <f>IF(BE$15&gt;=LCC總表!$E$9,((LCC總表!$E$27*(LCC總表!$E$29/100))*(LCC總表!$E$30*(1+U$9))),0)</f>
        <v>130632.98838069383</v>
      </c>
      <c r="BF16" s="55">
        <f>IF(BF$15&gt;=LCC總表!$E$9,((LCC總表!$E$27*(LCC總表!$E$29/100))*(LCC總表!$E$30*(1+V$9))),0)</f>
        <v>131598.8595227662</v>
      </c>
      <c r="BG16" s="55">
        <f>IF(BG$15&gt;=LCC總表!$E$9,((LCC總表!$E$27*(LCC總表!$E$29/100))*(LCC總表!$E$30*(1+W$9))),0)</f>
        <v>131518.59783255379</v>
      </c>
      <c r="BH16" s="55">
        <f>IF(BH$15&gt;=LCC總表!$E$9,((LCC總表!$E$27*(LCC總表!$E$29/100))*(LCC總表!$E$30*(1+X$9))),0)</f>
        <v>132101.74463738478</v>
      </c>
      <c r="BI16" s="55">
        <f>IF(BI$15&gt;=LCC總表!$E$9,((LCC總表!$E$27*(LCC總表!$E$29/100))*(LCC總表!$E$30*(1+Y$9))),0)</f>
        <v>132432.05272680978</v>
      </c>
      <c r="BJ16" s="55">
        <f>IF(BJ$15&gt;=LCC總表!$E$9,((LCC總表!$E$27*(LCC總表!$E$29/100))*(LCC總表!$E$30*(1+Z$9))),0)</f>
        <v>133037.77295587547</v>
      </c>
      <c r="BK16" s="55">
        <f>SUM(AN16:INDEX(AN16:BJ16,LCC總表!$E$6+LCC總表!$E$9-2018))</f>
        <v>862526.8276210425</v>
      </c>
    </row>
    <row r="17" spans="1:63">
      <c r="AM17" s="52" t="s">
        <v>98</v>
      </c>
      <c r="AN17" s="55">
        <f>IF($AN$15&gt;=LCC總表!$E$9,(((LCC總表!$G$27*(LCC總表!$G$29/100))*LCC總表!$G$30)),0)</f>
        <v>0</v>
      </c>
      <c r="AO17" s="55">
        <f>IF(AO$15&gt;=LCC總表!$E$9,((LCC總表!$G$27*(LCC總表!$G$29/100))*(LCC總表!$G$30*(1+E$9))),0)</f>
        <v>77854.789499999999</v>
      </c>
      <c r="AP17" s="55">
        <f>IF(AP$15&gt;=LCC總表!$E$9,((LCC總表!$G$27*(LCC總表!$G$29/100))*(LCC總表!$G$30*(1+F$9))),0)</f>
        <v>80644.986191265256</v>
      </c>
      <c r="AQ17" s="55">
        <f>IF(AQ$15&gt;=LCC總表!$E$9,((LCC總表!$G$27*(LCC總表!$G$29/100))*(LCC總表!$G$30*(1+G$9))),0)</f>
        <v>81901.306953820822</v>
      </c>
      <c r="AR17" s="55">
        <f>IF(AR$15&gt;=LCC總表!$E$9,((LCC總表!$G$27*(LCC總表!$G$29/100))*(LCC總表!$G$30*(1+H$9))),0)</f>
        <v>81895.954037394447</v>
      </c>
      <c r="AS17" s="55">
        <f>IF(AS$15&gt;=LCC總表!$E$9,((LCC總表!$G$27*(LCC總表!$G$29/100))*(LCC總表!$G$30*(1+I$9))),0)</f>
        <v>83218.000955730706</v>
      </c>
      <c r="AT17" s="55">
        <f>IF(AT$15&gt;=LCC總表!$E$9,((LCC總表!$G$27*(LCC總表!$G$29/100))*(LCC總表!$G$30*(1+J$9))),0)</f>
        <v>84767.565155310251</v>
      </c>
      <c r="AU17" s="55">
        <f>IF(AU$15&gt;=LCC總表!$E$9,((LCC總表!$G$27*(LCC總表!$G$29/100))*(LCC總表!$G$30*(1+K$9))),0)</f>
        <v>85595.424945179562</v>
      </c>
      <c r="AV17" s="55">
        <f>IF(AV$15&gt;=LCC總表!$E$9,((LCC總表!$G$27*(LCC總表!$G$29/100))*(LCC總表!$G$30*(1+L$9))),0)</f>
        <v>86227.628318945674</v>
      </c>
      <c r="AW17" s="55">
        <f>IF(AW$15&gt;=LCC總表!$E$9,((LCC總表!$G$27*(LCC總表!$G$29/100))*(LCC總表!$G$30*(1+M$9))),0)</f>
        <v>87654.818774557585</v>
      </c>
      <c r="AX17" s="55">
        <f>IF(AX$15&gt;=LCC總表!$E$9,((LCC總表!$G$27*(LCC總表!$G$29/100))*(LCC總表!$G$30*(1+N$9))),0)</f>
        <v>88180.299805804767</v>
      </c>
      <c r="AY17" s="55">
        <f>IF(AY$15&gt;=LCC總表!$E$9,((LCC總表!$G$27*(LCC總表!$G$29/100))*(LCC總表!$G$30*(1+O$9))),0)</f>
        <v>96974.923656896412</v>
      </c>
      <c r="AZ17" s="55">
        <f>IF(AZ$15&gt;=LCC總表!$E$9,((LCC總表!$G$27*(LCC總表!$G$29/100))*(LCC總表!$G$30*(1+P$9))),0)</f>
        <v>97139.380982671879</v>
      </c>
      <c r="BA17" s="55">
        <f>IF(BA$15&gt;=LCC總表!$E$9,((LCC總表!$G$27*(LCC總表!$G$29/100))*(LCC總表!$G$30*(1+Q$9))),0)</f>
        <v>98750.680756606773</v>
      </c>
      <c r="BB17" s="55">
        <f>IF(BB$15&gt;=LCC總表!$E$9,((LCC總表!$G$27*(LCC總表!$G$29/100))*(LCC總表!$G$30*(1+R$9))),0)</f>
        <v>99318.487240553266</v>
      </c>
      <c r="BC17" s="55">
        <f>IF(BC$15&gt;=LCC總表!$E$9,((LCC總表!$G$27*(LCC總表!$G$29/100))*(LCC總表!$G$30*(1+S$9))),0)</f>
        <v>99437.313861840739</v>
      </c>
      <c r="BD17" s="55">
        <f>IF(BD$15&gt;=LCC總表!$E$9,((LCC總表!$G$27*(LCC總表!$G$29/100))*(LCC總表!$G$30*(1+T$9))),0)</f>
        <v>99956.833687875798</v>
      </c>
      <c r="BE17" s="55">
        <f>IF(BE$15&gt;=LCC總表!$E$9,((LCC總表!$G$27*(LCC總表!$G$29/100))*(LCC總表!$G$30*(1+U$9))),0)</f>
        <v>100278.43506401808</v>
      </c>
      <c r="BF17" s="55">
        <f>IF(BF$15&gt;=LCC總表!$E$9,((LCC總表!$G$27*(LCC總表!$G$29/100))*(LCC總表!$G$30*(1+V$9))),0)</f>
        <v>101019.87141789106</v>
      </c>
      <c r="BG17" s="55">
        <f>IF(BG$15&gt;=LCC總表!$E$9,((LCC總表!$G$27*(LCC總表!$G$29/100))*(LCC總表!$G$30*(1+W$9))),0)</f>
        <v>100958.25974698112</v>
      </c>
      <c r="BH17" s="55">
        <f>IF(BH$15&gt;=LCC總表!$E$9,((LCC總表!$G$27*(LCC總表!$G$29/100))*(LCC總表!$G$30*(1+X$9))),0)</f>
        <v>101405.90355981818</v>
      </c>
      <c r="BI17" s="55">
        <f>IF(BI$15&gt;=LCC總表!$E$9,((LCC總表!$G$27*(LCC總表!$G$29/100))*(LCC總表!$G$30*(1+Y$9))),0)</f>
        <v>101659.45956207388</v>
      </c>
      <c r="BJ17" s="55">
        <f>IF(BJ$15&gt;=LCC總表!$E$9,((LCC總表!$G$27*(LCC總表!$G$29/100))*(LCC總表!$G$30*(1+Z$9))),0)</f>
        <v>102124.43152214507</v>
      </c>
      <c r="BK17" s="55">
        <f>SUM(AN17:INDEX(AN17:BJ17,LCC總表!$E$6+LCC總表!$E$9-2018))</f>
        <v>662105.65605764661</v>
      </c>
    </row>
    <row r="18" spans="1:63">
      <c r="B18" s="7"/>
      <c r="C18" s="7"/>
      <c r="D18" s="38">
        <v>2019</v>
      </c>
      <c r="E18" s="38" t="s">
        <v>117</v>
      </c>
      <c r="F18" s="38" t="s">
        <v>118</v>
      </c>
      <c r="G18" s="39" t="s">
        <v>119</v>
      </c>
      <c r="H18" s="39" t="s">
        <v>97</v>
      </c>
      <c r="I18" s="39" t="s">
        <v>98</v>
      </c>
      <c r="J18" s="39" t="s">
        <v>99</v>
      </c>
      <c r="K18" s="39" t="s">
        <v>100</v>
      </c>
      <c r="L18" s="40" t="s">
        <v>101</v>
      </c>
      <c r="M18" s="39" t="s">
        <v>102</v>
      </c>
      <c r="N18" s="39" t="s">
        <v>103</v>
      </c>
      <c r="O18" s="39" t="s">
        <v>104</v>
      </c>
      <c r="P18" s="39" t="s">
        <v>105</v>
      </c>
      <c r="Q18" s="39" t="s">
        <v>106</v>
      </c>
      <c r="AM18" s="52" t="s">
        <v>99</v>
      </c>
      <c r="AN18" s="55">
        <f>IF($AN$15&gt;=LCC總表!$E$9,(((LCC總表!$I$27*(LCC總表!$I$29/100))*LCC總表!$I$30)),0)</f>
        <v>0</v>
      </c>
      <c r="AO18" s="55">
        <f>IF(AO$15&gt;=LCC總表!$E$9,((LCC總表!$I$27*(LCC總表!$I$29/100))*(LCC總表!$I$30*(1+E$9))),0)</f>
        <v>144584.49</v>
      </c>
      <c r="AP18" s="55">
        <f>IF(AP$15&gt;=LCC總表!$E$9,((LCC總表!$I$27*(LCC總表!$I$29/100))*(LCC總表!$I$30*(1+F$9))),0)</f>
        <v>149766.17719223467</v>
      </c>
      <c r="AQ18" s="55">
        <f>IF(AQ$15&gt;=LCC總表!$E$9,((LCC總表!$I$27*(LCC總表!$I$29/100))*(LCC總表!$I$30*(1+G$9))),0)</f>
        <v>152099.29629636512</v>
      </c>
      <c r="AR18" s="55">
        <f>IF(AR$15&gt;=LCC總表!$E$9,((LCC總表!$I$27*(LCC總表!$I$29/100))*(LCC總表!$I$30*(1+H$9))),0)</f>
        <v>152089.35537048904</v>
      </c>
      <c r="AS18" s="55">
        <f>IF(AS$15&gt;=LCC總表!$E$9,((LCC總表!$I$27*(LCC總表!$I$29/100))*(LCC總表!$I$30*(1+I$9))),0)</f>
        <v>154544.53482279132</v>
      </c>
      <c r="AT18" s="55">
        <f>IF(AT$15&gt;=LCC總表!$E$9,((LCC總表!$I$27*(LCC總表!$I$29/100))*(LCC總表!$I$30*(1+J$9))),0)</f>
        <v>157422.2376713549</v>
      </c>
      <c r="AU18" s="55">
        <f>IF(AU$15&gt;=LCC總表!$E$9,((LCC總表!$I$27*(LCC總表!$I$29/100))*(LCC總表!$I$30*(1+K$9))),0)</f>
        <v>158959.65991960029</v>
      </c>
      <c r="AV18" s="55">
        <f>IF(AV$15&gt;=LCC總表!$E$9,((LCC總表!$I$27*(LCC總表!$I$29/100))*(LCC總表!$I$30*(1+L$9))),0)</f>
        <v>160133.72773173213</v>
      </c>
      <c r="AW18" s="55">
        <f>IF(AW$15&gt;=LCC總表!$E$9,((LCC總表!$I$27*(LCC總表!$I$29/100))*(LCC總表!$I$30*(1+M$9))),0)</f>
        <v>162784.16973385861</v>
      </c>
      <c r="AX18" s="55">
        <f>IF(AX$15&gt;=LCC總表!$E$9,((LCC總表!$I$27*(LCC總表!$I$29/100))*(LCC總表!$I$30*(1+N$9))),0)</f>
        <v>163760.04298964012</v>
      </c>
      <c r="AY18" s="55">
        <f>IF(AY$15&gt;=LCC總表!$E$9,((LCC總表!$I$27*(LCC總表!$I$29/100))*(LCC總表!$I$30*(1+O$9))),0)</f>
        <v>180092.5796571745</v>
      </c>
      <c r="AZ18" s="55">
        <f>IF(AZ$15&gt;=LCC總表!$E$9,((LCC總表!$I$27*(LCC總表!$I$29/100))*(LCC總表!$I$30*(1+P$9))),0)</f>
        <v>180397.99411820789</v>
      </c>
      <c r="BA18" s="55">
        <f>IF(BA$15&gt;=LCC總表!$E$9,((LCC總表!$I$27*(LCC總表!$I$29/100))*(LCC總表!$I$30*(1+Q$9))),0)</f>
        <v>183390.34638770434</v>
      </c>
      <c r="BB18" s="55">
        <f>IF(BB$15&gt;=LCC總表!$E$9,((LCC總表!$I$27*(LCC總表!$I$29/100))*(LCC總表!$I$30*(1+R$9))),0)</f>
        <v>184444.82243763443</v>
      </c>
      <c r="BC18" s="55">
        <f>IF(BC$15&gt;=LCC總表!$E$9,((LCC總表!$I$27*(LCC總表!$I$29/100))*(LCC總表!$I$30*(1+S$9))),0)</f>
        <v>184665.49590612116</v>
      </c>
      <c r="BD18" s="55">
        <f>IF(BD$15&gt;=LCC總表!$E$9,((LCC總表!$I$27*(LCC總表!$I$29/100))*(LCC總表!$I$30*(1+T$9))),0)</f>
        <v>185630.29858010652</v>
      </c>
      <c r="BE18" s="55">
        <f>IF(BE$15&gt;=LCC總表!$E$9,((LCC總表!$I$27*(LCC總表!$I$29/100))*(LCC總表!$I$30*(1+U$9))),0)</f>
        <v>186227.54598455594</v>
      </c>
      <c r="BF18" s="55">
        <f>IF(BF$15&gt;=LCC總表!$E$9,((LCC總表!$I$27*(LCC總表!$I$29/100))*(LCC總表!$I$30*(1+V$9))),0)</f>
        <v>187604.47086972545</v>
      </c>
      <c r="BG18" s="55">
        <f>IF(BG$15&gt;=LCC總表!$E$9,((LCC總表!$I$27*(LCC總表!$I$29/100))*(LCC總表!$I$30*(1+W$9))),0)</f>
        <v>187490.05155045463</v>
      </c>
      <c r="BH18" s="55">
        <f>IF(BH$15&gt;=LCC總表!$E$9,((LCC總表!$I$27*(LCC總表!$I$29/100))*(LCC總表!$I$30*(1+X$9))),0)</f>
        <v>188321.3729475885</v>
      </c>
      <c r="BI18" s="55">
        <f>IF(BI$15&gt;=LCC總表!$E$9,((LCC總表!$I$27*(LCC總表!$I$29/100))*(LCC總表!$I$30*(1+Y$9))),0)</f>
        <v>188792.25297318515</v>
      </c>
      <c r="BJ18" s="55">
        <f>IF(BJ$15&gt;=LCC總表!$E$9,((LCC總表!$I$27*(LCC總表!$I$29/100))*(LCC總表!$I$30*(1+Z$9))),0)</f>
        <v>189655.75455276607</v>
      </c>
      <c r="BK18" s="55">
        <f>SUM(AN18:INDEX(AN18:BJ18,LCC總表!$E$6+LCC總表!$E$9-2018))</f>
        <v>1229599.4790045675</v>
      </c>
    </row>
    <row r="19" spans="1:63">
      <c r="B19" s="206" t="s">
        <v>49</v>
      </c>
      <c r="C19" s="59" t="s">
        <v>86</v>
      </c>
      <c r="D19" s="41">
        <f>E4</f>
        <v>24.231915999999998</v>
      </c>
      <c r="E19" s="41">
        <f>G4</f>
        <v>26.475501999999999</v>
      </c>
      <c r="F19" s="41">
        <f>I4</f>
        <v>27.195015000000001</v>
      </c>
      <c r="G19" s="50">
        <f>N4</f>
        <v>29.559394999999999</v>
      </c>
      <c r="H19" s="58">
        <f>BK4</f>
        <v>899078.02689541783</v>
      </c>
      <c r="I19" s="58">
        <f>BK5</f>
        <v>690163.63060436631</v>
      </c>
      <c r="J19" s="58">
        <f>BK6</f>
        <v>1281706.0734263586</v>
      </c>
      <c r="K19" s="58">
        <f>BK7</f>
        <v>728215.89564309351</v>
      </c>
      <c r="L19" s="58">
        <f>BK8</f>
        <v>3575479.7667916864</v>
      </c>
      <c r="M19" s="58">
        <f>BK9</f>
        <v>0</v>
      </c>
      <c r="N19" s="58">
        <f>BK10</f>
        <v>0</v>
      </c>
      <c r="O19" s="58">
        <f>BK11</f>
        <v>0</v>
      </c>
      <c r="P19" s="58">
        <f>BK12</f>
        <v>0</v>
      </c>
      <c r="Q19" s="58">
        <f>BK13</f>
        <v>0</v>
      </c>
      <c r="AM19" s="52" t="s">
        <v>100</v>
      </c>
      <c r="AN19" s="55">
        <f>IF($AN$15&gt;=LCC總表!$E$9,(((LCC總表!$K$27*(LCC總表!$K$29/100))*LCC總表!$K$30)),0)</f>
        <v>0</v>
      </c>
      <c r="AO19" s="55">
        <f>IF(AO$15&gt;=LCC總表!$E$9,((LCC總表!$K$27*(LCC總表!$K$29/100))*(LCC總表!$K$30*(1+E$9))),0)</f>
        <v>82147.323839999997</v>
      </c>
      <c r="AP19" s="55">
        <f>IF(AP$15&gt;=LCC總表!$E$9,((LCC總表!$K$27*(LCC總表!$K$29/100))*(LCC總表!$K$30*(1+F$9))),0)</f>
        <v>85091.358402891783</v>
      </c>
      <c r="AQ19" s="55">
        <f>IF(AQ$15&gt;=LCC總表!$E$9,((LCC總表!$K$27*(LCC總表!$K$29/100))*(LCC總表!$K$30*(1+G$9))),0)</f>
        <v>86416.946580463904</v>
      </c>
      <c r="AR19" s="55">
        <f>IF(AR$15&gt;=LCC總表!$E$9,((LCC總表!$K$27*(LCC總表!$K$29/100))*(LCC總表!$K$30*(1+H$9))),0)</f>
        <v>86411.298530266999</v>
      </c>
      <c r="AS19" s="55">
        <f>IF(AS$15&gt;=LCC總表!$E$9,((LCC總表!$K$27*(LCC總表!$K$29/100))*(LCC總表!$K$30*(1+I$9))),0)</f>
        <v>87806.236684100717</v>
      </c>
      <c r="AT19" s="55">
        <f>IF(AT$15&gt;=LCC總表!$E$9,((LCC總表!$K$27*(LCC總表!$K$29/100))*(LCC總表!$K$30*(1+J$9))),0)</f>
        <v>89441.236315224654</v>
      </c>
      <c r="AU19" s="55">
        <f>IF(AU$15&gt;=LCC總表!$E$9,((LCC總表!$K$27*(LCC總表!$K$29/100))*(LCC總表!$K$30*(1+K$9))),0)</f>
        <v>90314.740266481356</v>
      </c>
      <c r="AV19" s="55">
        <f>IF(AV$15&gt;=LCC總表!$E$9,((LCC總表!$K$27*(LCC總表!$K$29/100))*(LCC總表!$K$30*(1+L$9))),0)</f>
        <v>90981.800258692951</v>
      </c>
      <c r="AW19" s="55">
        <f>IF(AW$15&gt;=LCC總表!$E$9,((LCC總表!$K$27*(LCC總表!$K$29/100))*(LCC總表!$K$30*(1+M$9))),0)</f>
        <v>92487.679052938605</v>
      </c>
      <c r="AX19" s="55">
        <f>IF(AX$15&gt;=LCC總表!$E$9,((LCC總表!$K$27*(LCC總表!$K$29/100))*(LCC總表!$K$30*(1+N$9))),0)</f>
        <v>93042.132551854535</v>
      </c>
      <c r="AY19" s="55">
        <f>IF(AY$15&gt;=LCC總表!$E$9,((LCC總表!$K$27*(LCC總表!$K$29/100))*(LCC總表!$K$30*(1+O$9))),0)</f>
        <v>102321.6491774388</v>
      </c>
      <c r="AZ19" s="55">
        <f>IF(AZ$15&gt;=LCC總表!$E$9,((LCC總表!$K$27*(LCC總表!$K$29/100))*(LCC總表!$K$30*(1+P$9))),0)</f>
        <v>102495.17388009487</v>
      </c>
      <c r="BA19" s="55">
        <f>IF(BA$15&gt;=LCC總表!$E$9,((LCC總表!$K$27*(LCC總表!$K$29/100))*(LCC總表!$K$30*(1+Q$9))),0)</f>
        <v>104195.31288480887</v>
      </c>
      <c r="BB19" s="55">
        <f>IF(BB$15&gt;=LCC總表!$E$9,((LCC總表!$K$27*(LCC總表!$K$29/100))*(LCC總表!$K$30*(1+R$9))),0)</f>
        <v>104794.42545597837</v>
      </c>
      <c r="BC19" s="55">
        <f>IF(BC$15&gt;=LCC總表!$E$9,((LCC總表!$K$27*(LCC總表!$K$29/100))*(LCC總表!$K$30*(1+S$9))),0)</f>
        <v>104919.80359908818</v>
      </c>
      <c r="BD19" s="55">
        <f>IF(BD$15&gt;=LCC總表!$E$9,((LCC總表!$K$27*(LCC總表!$K$29/100))*(LCC總表!$K$30*(1+T$9))),0)</f>
        <v>105467.96722093706</v>
      </c>
      <c r="BE19" s="55">
        <f>IF(BE$15&gt;=LCC總表!$E$9,((LCC總表!$K$27*(LCC總表!$K$29/100))*(LCC總表!$K$30*(1+U$9))),0)</f>
        <v>105807.30013241259</v>
      </c>
      <c r="BF19" s="55">
        <f>IF(BF$15&gt;=LCC總表!$E$9,((LCC總表!$K$27*(LCC總表!$K$29/100))*(LCC總表!$K$30*(1+V$9))),0)</f>
        <v>106589.61567985047</v>
      </c>
      <c r="BG19" s="55">
        <f>IF(BG$15&gt;=LCC總表!$E$9,((LCC總表!$K$27*(LCC總表!$K$29/100))*(LCC總表!$K$30*(1+W$9))),0)</f>
        <v>106524.607041139</v>
      </c>
      <c r="BH19" s="55">
        <f>IF(BH$15&gt;=LCC總表!$E$9,((LCC總表!$K$27*(LCC總表!$K$29/100))*(LCC總表!$K$30*(1+X$9))),0)</f>
        <v>106996.93175608924</v>
      </c>
      <c r="BI19" s="55">
        <f>IF(BI$15&gt;=LCC總表!$E$9,((LCC總表!$K$27*(LCC總表!$K$29/100))*(LCC總表!$K$30*(1+Y$9))),0)</f>
        <v>107264.46760279364</v>
      </c>
      <c r="BJ19" s="55">
        <f>IF(BJ$15&gt;=LCC總表!$E$9,((LCC總表!$K$27*(LCC總表!$K$29/100))*(LCC總表!$K$30*(1+Z$9))),0)</f>
        <v>107755.07585471739</v>
      </c>
      <c r="BK19" s="55">
        <f>SUM(AN19:INDEX(AN19:BJ19,LCC總表!$E$6+LCC總表!$E$9-2018))</f>
        <v>698610.94087812235</v>
      </c>
    </row>
    <row r="20" spans="1:63" ht="17.25" thickBot="1">
      <c r="B20" s="207"/>
      <c r="C20" s="60" t="s">
        <v>87</v>
      </c>
      <c r="D20" s="42"/>
      <c r="E20" s="43">
        <f>G6</f>
        <v>9.1484383115075535E-2</v>
      </c>
      <c r="F20" s="43">
        <f>I6</f>
        <v>0.11856657349597076</v>
      </c>
      <c r="G20" s="44">
        <f>N6</f>
        <v>0.20281170474737484</v>
      </c>
      <c r="H20" s="42"/>
      <c r="I20" s="42"/>
      <c r="J20" s="42"/>
      <c r="K20" s="42"/>
      <c r="L20" s="42"/>
      <c r="M20" s="42"/>
      <c r="N20" s="42"/>
      <c r="O20" s="42"/>
      <c r="P20" s="42"/>
      <c r="Q20" s="42"/>
      <c r="AM20" s="52" t="s">
        <v>101</v>
      </c>
      <c r="AN20" s="55">
        <f>IF($AN$15&gt;=LCC總表!$E$9,(((LCC總表!$M$27*(LCC總表!$M$29/100))*LCC總表!$M$30)),0)</f>
        <v>0</v>
      </c>
      <c r="AO20" s="55">
        <f>IF(AO$15&gt;=LCC總表!$E$9,((LCC總表!$M$27*(LCC總表!$M$29/100))*(LCC總表!$M$30*(1+E$9))),0)</f>
        <v>403336.56</v>
      </c>
      <c r="AP20" s="55">
        <f>IF(AP$15&gt;=LCC總表!$E$9,((LCC總表!$M$27*(LCC總表!$M$29/100))*(LCC總表!$M$30*(1+F$9))),0)</f>
        <v>417791.5260002396</v>
      </c>
      <c r="AQ20" s="55">
        <f>IF(AQ$15&gt;=LCC總表!$E$9,((LCC總表!$M$27*(LCC總表!$M$29/100))*(LCC總表!$M$30*(1+G$9))),0)</f>
        <v>424300.05422156031</v>
      </c>
      <c r="AR20" s="55">
        <f>IF(AR$15&gt;=LCC總表!$E$9,((LCC總表!$M$27*(LCC總表!$M$29/100))*(LCC總表!$M$30*(1+H$9))),0)</f>
        <v>424272.32276263222</v>
      </c>
      <c r="AS20" s="55">
        <f>IF(AS$15&gt;=LCC總表!$E$9,((LCC總表!$M$27*(LCC總表!$M$29/100))*(LCC總表!$M$30*(1+I$9))),0)</f>
        <v>431121.35362669156</v>
      </c>
      <c r="AT20" s="55">
        <f>IF(AT$15&gt;=LCC總表!$E$9,((LCC總表!$M$27*(LCC總表!$M$29/100))*(LCC總表!$M$30*(1+J$9))),0)</f>
        <v>439149.06647225219</v>
      </c>
      <c r="AU20" s="55">
        <f>IF(AU$15&gt;=LCC總表!$E$9,((LCC總表!$M$27*(LCC總表!$M$29/100))*(LCC總表!$M$30*(1+K$9))),0)</f>
        <v>443437.89856534021</v>
      </c>
      <c r="AV20" s="55">
        <f>IF(AV$15&gt;=LCC總表!$E$9,((LCC總表!$M$27*(LCC總表!$M$29/100))*(LCC總表!$M$30*(1+L$9))),0)</f>
        <v>446713.10790869367</v>
      </c>
      <c r="AW20" s="55">
        <f>IF(AW$15&gt;=LCC總表!$E$9,((LCC總表!$M$27*(LCC總表!$M$29/100))*(LCC總表!$M$30*(1+M$9))),0)</f>
        <v>454106.84813364589</v>
      </c>
      <c r="AX20" s="55">
        <f>IF(AX$15&gt;=LCC總表!$E$9,((LCC總表!$M$27*(LCC總表!$M$29/100))*(LCC總表!$M$30*(1+N$9))),0)</f>
        <v>456829.16891634476</v>
      </c>
      <c r="AY20" s="55">
        <f>IF(AY$15&gt;=LCC總表!$E$9,((LCC總表!$M$27*(LCC總表!$M$29/100))*(LCC總表!$M$30*(1+O$9))),0)</f>
        <v>502390.82740099396</v>
      </c>
      <c r="AZ20" s="55">
        <f>IF(AZ$15&gt;=LCC總表!$E$9,((LCC總表!$M$27*(LCC總表!$M$29/100))*(LCC總表!$M$30*(1+P$9))),0)</f>
        <v>503242.81932687387</v>
      </c>
      <c r="BA20" s="55">
        <f>IF(BA$15&gt;=LCC總表!$E$9,((LCC總表!$M$27*(LCC總表!$M$29/100))*(LCC總表!$M$30*(1+Q$9))),0)</f>
        <v>511590.3611046045</v>
      </c>
      <c r="BB20" s="55">
        <f>IF(BB$15&gt;=LCC總表!$E$9,((LCC總表!$M$27*(LCC總表!$M$29/100))*(LCC總表!$M$30*(1+R$9))),0)</f>
        <v>514531.95423524524</v>
      </c>
      <c r="BC20" s="55">
        <f>IF(BC$15&gt;=LCC總表!$E$9,((LCC總表!$M$27*(LCC總表!$M$29/100))*(LCC總表!$M$30*(1+S$9))),0)</f>
        <v>515147.55053926591</v>
      </c>
      <c r="BD20" s="55">
        <f>IF(BD$15&gt;=LCC總表!$E$9,((LCC總表!$M$27*(LCC總表!$M$29/100))*(LCC總表!$M$30*(1+T$9))),0)</f>
        <v>517838.98854623368</v>
      </c>
      <c r="BE20" s="55">
        <f>IF(BE$15&gt;=LCC總表!$E$9,((LCC總表!$M$27*(LCC總表!$M$29/100))*(LCC總表!$M$30*(1+U$9))),0)</f>
        <v>519505.08505201765</v>
      </c>
      <c r="BF20" s="55">
        <f>IF(BF$15&gt;=LCC總表!$E$9,((LCC總表!$M$27*(LCC總表!$M$29/100))*(LCC總表!$M$30*(1+V$9))),0)</f>
        <v>523346.18963081908</v>
      </c>
      <c r="BG20" s="55">
        <f>IF(BG$15&gt;=LCC總表!$E$9,((LCC總表!$M$27*(LCC總表!$M$29/100))*(LCC總表!$M$30*(1+W$9))),0)</f>
        <v>523027.00259608089</v>
      </c>
      <c r="BH20" s="55">
        <f>IF(BH$15&gt;=LCC總表!$E$9,((LCC總表!$M$27*(LCC總表!$M$29/100))*(LCC總表!$M$30*(1+X$9))),0)</f>
        <v>525346.07784802781</v>
      </c>
      <c r="BI20" s="55">
        <f>IF(BI$15&gt;=LCC總表!$E$9,((LCC總表!$M$27*(LCC總表!$M$29/100))*(LCC總表!$M$30*(1+Y$9))),0)</f>
        <v>526659.65670905821</v>
      </c>
      <c r="BJ20" s="55">
        <f>IF(BJ$15&gt;=LCC總表!$E$9,((LCC總表!$M$27*(LCC總表!$M$29/100))*(LCC總表!$M$30*(1+Z$9))),0)</f>
        <v>529068.50261405623</v>
      </c>
      <c r="BK20" s="55">
        <f>SUM(AN20:INDEX(AN20:BJ20,LCC總表!$E$6+LCC總表!$E$9-2018))</f>
        <v>3430121.88955741</v>
      </c>
    </row>
    <row r="21" spans="1:63" ht="17.25" thickTop="1">
      <c r="B21" s="68" t="s">
        <v>51</v>
      </c>
      <c r="C21" s="59" t="s">
        <v>86</v>
      </c>
      <c r="D21" s="49">
        <f>E7</f>
        <v>26.917805000000001</v>
      </c>
      <c r="E21" s="49">
        <f>G7</f>
        <v>28.332429999999999</v>
      </c>
      <c r="F21" s="49">
        <f>I7</f>
        <v>28.81156</v>
      </c>
      <c r="G21" s="49">
        <f>N7</f>
        <v>30.693211000000002</v>
      </c>
      <c r="H21" s="57">
        <f>BK16</f>
        <v>862526.8276210425</v>
      </c>
      <c r="I21" s="57">
        <f>BK17</f>
        <v>662105.65605764661</v>
      </c>
      <c r="J21" s="57">
        <f>BK18</f>
        <v>1229599.4790045675</v>
      </c>
      <c r="K21" s="57">
        <f>BK19</f>
        <v>698610.94087812235</v>
      </c>
      <c r="L21" s="57">
        <f>BK20</f>
        <v>3430121.88955741</v>
      </c>
      <c r="M21" s="57">
        <f>BK21</f>
        <v>0</v>
      </c>
      <c r="N21" s="57">
        <f>BK22</f>
        <v>0</v>
      </c>
      <c r="O21" s="57">
        <f>BK23</f>
        <v>0</v>
      </c>
      <c r="P21" s="57">
        <f>BK24</f>
        <v>0</v>
      </c>
      <c r="Q21" s="57">
        <f>BK25</f>
        <v>0</v>
      </c>
      <c r="AM21" s="52" t="s">
        <v>102</v>
      </c>
      <c r="AN21" s="55">
        <f>IF($AN$15&gt;=LCC總表!$E$9,(((LCC總表!$O$27*(LCC總表!$O$29/100))*LCC總表!$O$30)),0)</f>
        <v>0</v>
      </c>
      <c r="AO21" s="55">
        <f>IF(AO$15&gt;=LCC總表!$E$9,((LCC總表!$O$27*(LCC總表!$O$29/100))*(LCC總表!$O$30*(1+E$9))),0)</f>
        <v>0</v>
      </c>
      <c r="AP21" s="55">
        <f>IF(AP$15&gt;=LCC總表!$E$9,((LCC總表!$O$27*(LCC總表!$O$29/100))*(LCC總表!$O$30*(1+F$9))),0)</f>
        <v>0</v>
      </c>
      <c r="AQ21" s="55">
        <f>IF(AQ$15&gt;=LCC總表!$E$9,((LCC總表!$O$27*(LCC總表!$O$29/100))*(LCC總表!$O$30*(1+G$9))),0)</f>
        <v>0</v>
      </c>
      <c r="AR21" s="55">
        <f>IF(AR$15&gt;=LCC總表!$E$9,((LCC總表!$O$27*(LCC總表!$O$29/100))*(LCC總表!$O$30*(1+H$9))),0)</f>
        <v>0</v>
      </c>
      <c r="AS21" s="55">
        <f>IF(AS$15&gt;=LCC總表!$E$9,((LCC總表!$O$27*(LCC總表!$O$29/100))*(LCC總表!$O$30*(1+I$9))),0)</f>
        <v>0</v>
      </c>
      <c r="AT21" s="55">
        <f>IF(AT$15&gt;=LCC總表!$E$9,((LCC總表!$O$27*(LCC總表!$O$29/100))*(LCC總表!$O$30*(1+J$9))),0)</f>
        <v>0</v>
      </c>
      <c r="AU21" s="55">
        <f>IF(AU$15&gt;=LCC總表!$E$9,((LCC總表!$O$27*(LCC總表!$O$29/100))*(LCC總表!$O$30*(1+K$9))),0)</f>
        <v>0</v>
      </c>
      <c r="AV21" s="55">
        <f>IF(AV$15&gt;=LCC總表!$E$9,((LCC總表!$O$27*(LCC總表!$O$29/100))*(LCC總表!$O$30*(1+L$9))),0)</f>
        <v>0</v>
      </c>
      <c r="AW21" s="55">
        <f>IF(AW$15&gt;=LCC總表!$E$9,((LCC總表!$O$27*(LCC總表!$O$29/100))*(LCC總表!$O$30*(1+M$9))),0)</f>
        <v>0</v>
      </c>
      <c r="AX21" s="55">
        <f>IF(AX$15&gt;=LCC總表!$E$9,((LCC總表!$O$27*(LCC總表!$O$29/100))*(LCC總表!$O$30*(1+N$9))),0)</f>
        <v>0</v>
      </c>
      <c r="AY21" s="55">
        <f>IF(AY$15&gt;=LCC總表!$E$9,((LCC總表!$O$27*(LCC總表!$O$29/100))*(LCC總表!$O$30*(1+O$9))),0)</f>
        <v>0</v>
      </c>
      <c r="AZ21" s="55">
        <f>IF(AZ$15&gt;=LCC總表!$E$9,((LCC總表!$O$27*(LCC總表!$O$29/100))*(LCC總表!$O$30*(1+P$9))),0)</f>
        <v>0</v>
      </c>
      <c r="BA21" s="55">
        <f>IF(BA$15&gt;=LCC總表!$E$9,((LCC總表!$O$27*(LCC總表!$O$29/100))*(LCC總表!$O$30*(1+Q$9))),0)</f>
        <v>0</v>
      </c>
      <c r="BB21" s="55">
        <f>IF(BB$15&gt;=LCC總表!$E$9,((LCC總表!$O$27*(LCC總表!$O$29/100))*(LCC總表!$O$30*(1+R$9))),0)</f>
        <v>0</v>
      </c>
      <c r="BC21" s="55">
        <f>IF(BC$15&gt;=LCC總表!$E$9,((LCC總表!$O$27*(LCC總表!$O$29/100))*(LCC總表!$O$30*(1+S$9))),0)</f>
        <v>0</v>
      </c>
      <c r="BD21" s="55">
        <f>IF(BD$15&gt;=LCC總表!$E$9,((LCC總表!$O$27*(LCC總表!$O$29/100))*(LCC總表!$O$30*(1+T$9))),0)</f>
        <v>0</v>
      </c>
      <c r="BE21" s="55">
        <f>IF(BE$15&gt;=LCC總表!$E$9,((LCC總表!$O$27*(LCC總表!$O$29/100))*(LCC總表!$O$30*(1+U$9))),0)</f>
        <v>0</v>
      </c>
      <c r="BF21" s="55">
        <f>IF(BF$15&gt;=LCC總表!$E$9,((LCC總表!$O$27*(LCC總表!$O$29/100))*(LCC總表!$O$30*(1+V$9))),0)</f>
        <v>0</v>
      </c>
      <c r="BG21" s="55">
        <f>IF(BG$15&gt;=LCC總表!$E$9,((LCC總表!$O$27*(LCC總表!$O$29/100))*(LCC總表!$O$30*(1+W$9))),0)</f>
        <v>0</v>
      </c>
      <c r="BH21" s="55">
        <f>IF(BH$15&gt;=LCC總表!$E$9,((LCC總表!$O$27*(LCC總表!$O$29/100))*(LCC總表!$O$30*(1+X$9))),0)</f>
        <v>0</v>
      </c>
      <c r="BI21" s="55">
        <f>IF(BI$15&gt;=LCC總表!$E$9,((LCC總表!$O$27*(LCC總表!$O$29/100))*(LCC總表!$O$30*(1+Y$9))),0)</f>
        <v>0</v>
      </c>
      <c r="BJ21" s="55">
        <f>IF(BJ$15&gt;=LCC總表!$E$9,((LCC總表!$O$27*(LCC總表!$O$29/100))*(LCC總表!$O$30*(1+Z$9))),0)</f>
        <v>0</v>
      </c>
      <c r="BK21" s="55">
        <f>SUM(AN21:INDEX(AN21:BJ21,LCC總表!$E$6+LCC總表!$E$9-2018))</f>
        <v>0</v>
      </c>
    </row>
    <row r="22" spans="1:63" ht="17.25" thickBot="1">
      <c r="B22" s="67"/>
      <c r="C22" s="60" t="s">
        <v>87</v>
      </c>
      <c r="D22" s="45"/>
      <c r="E22" s="43">
        <f>G9</f>
        <v>5.1975189706483224E-2</v>
      </c>
      <c r="F22" s="43">
        <f>I9</f>
        <v>6.8887366983770668E-2</v>
      </c>
      <c r="G22" s="44">
        <f>N9</f>
        <v>0.13262524209643867</v>
      </c>
      <c r="H22" s="45"/>
      <c r="I22" s="45"/>
      <c r="J22" s="45"/>
      <c r="K22" s="45"/>
      <c r="L22" s="45"/>
      <c r="M22" s="45"/>
      <c r="N22" s="45"/>
      <c r="O22" s="45"/>
      <c r="P22" s="45"/>
      <c r="Q22" s="45"/>
      <c r="AM22" s="52" t="s">
        <v>103</v>
      </c>
      <c r="AN22" s="55">
        <f>IF($AN$15&gt;=LCC總表!$E$9,(((LCC總表!$Q$27*(LCC總表!$Q$29/100))*LCC總表!$Q$30)),0)</f>
        <v>0</v>
      </c>
      <c r="AO22" s="55">
        <f>IF(AO$15&gt;=LCC總表!$E$9,((LCC總表!$Q$27*(LCC總表!$Q$29/100))*(LCC總表!$Q$30*(1+E$9))),0)</f>
        <v>0</v>
      </c>
      <c r="AP22" s="55">
        <f>IF(AP$15&gt;=LCC總表!$E$9,((LCC總表!$Q$27*(LCC總表!$Q$29/100))*(LCC總表!$Q$30*(1+F$9))),0)</f>
        <v>0</v>
      </c>
      <c r="AQ22" s="55">
        <f>IF(AQ$15&gt;=LCC總表!$E$9,((LCC總表!$Q$27*(LCC總表!$Q$29/100))*(LCC總表!$Q$30*(1+G$9))),0)</f>
        <v>0</v>
      </c>
      <c r="AR22" s="55">
        <f>IF(AR$15&gt;=LCC總表!$E$9,((LCC總表!$Q$27*(LCC總表!$Q$29/100))*(LCC總表!$Q$30*(1+H$9))),0)</f>
        <v>0</v>
      </c>
      <c r="AS22" s="55">
        <f>IF(AS$15&gt;=LCC總表!$E$9,((LCC總表!$Q$27*(LCC總表!$Q$29/100))*(LCC總表!$Q$30*(1+I$9))),0)</f>
        <v>0</v>
      </c>
      <c r="AT22" s="55">
        <f>IF(AT$15&gt;=LCC總表!$E$9,((LCC總表!$Q$27*(LCC總表!$Q$29/100))*(LCC總表!$Q$30*(1+J$9))),0)</f>
        <v>0</v>
      </c>
      <c r="AU22" s="55">
        <f>IF(AU$15&gt;=LCC總表!$E$9,((LCC總表!$Q$27*(LCC總表!$Q$29/100))*(LCC總表!$Q$30*(1+K$9))),0)</f>
        <v>0</v>
      </c>
      <c r="AV22" s="55">
        <f>IF(AV$15&gt;=LCC總表!$E$9,((LCC總表!$Q$27*(LCC總表!$Q$29/100))*(LCC總表!$Q$30*(1+L$9))),0)</f>
        <v>0</v>
      </c>
      <c r="AW22" s="55">
        <f>IF(AW$15&gt;=LCC總表!$E$9,((LCC總表!$Q$27*(LCC總表!$Q$29/100))*(LCC總表!$Q$30*(1+M$9))),0)</f>
        <v>0</v>
      </c>
      <c r="AX22" s="55">
        <f>IF(AX$15&gt;=LCC總表!$E$9,((LCC總表!$Q$27*(LCC總表!$Q$29/100))*(LCC總表!$Q$30*(1+N$9))),0)</f>
        <v>0</v>
      </c>
      <c r="AY22" s="55">
        <f>IF(AY$15&gt;=LCC總表!$E$9,((LCC總表!$Q$27*(LCC總表!$Q$29/100))*(LCC總表!$Q$30*(1+O$9))),0)</f>
        <v>0</v>
      </c>
      <c r="AZ22" s="55">
        <f>IF(AZ$15&gt;=LCC總表!$E$9,((LCC總表!$Q$27*(LCC總表!$Q$29/100))*(LCC總表!$Q$30*(1+P$9))),0)</f>
        <v>0</v>
      </c>
      <c r="BA22" s="55">
        <f>IF(BA$15&gt;=LCC總表!$E$9,((LCC總表!$Q$27*(LCC總表!$Q$29/100))*(LCC總表!$Q$30*(1+Q$9))),0)</f>
        <v>0</v>
      </c>
      <c r="BB22" s="55">
        <f>IF(BB$15&gt;=LCC總表!$E$9,((LCC總表!$Q$27*(LCC總表!$Q$29/100))*(LCC總表!$Q$30*(1+R$9))),0)</f>
        <v>0</v>
      </c>
      <c r="BC22" s="55">
        <f>IF(BC$15&gt;=LCC總表!$E$9,((LCC總表!$Q$27*(LCC總表!$Q$29/100))*(LCC總表!$Q$30*(1+S$9))),0)</f>
        <v>0</v>
      </c>
      <c r="BD22" s="55">
        <f>IF(BD$15&gt;=LCC總表!$E$9,((LCC總表!$Q$27*(LCC總表!$Q$29/100))*(LCC總表!$Q$30*(1+T$9))),0)</f>
        <v>0</v>
      </c>
      <c r="BE22" s="55">
        <f>IF(BE$15&gt;=LCC總表!$E$9,((LCC總表!$Q$27*(LCC總表!$Q$29/100))*(LCC總表!$Q$30*(1+U$9))),0)</f>
        <v>0</v>
      </c>
      <c r="BF22" s="55">
        <f>IF(BF$15&gt;=LCC總表!$E$9,((LCC總表!$Q$27*(LCC總表!$Q$29/100))*(LCC總表!$Q$30*(1+V$9))),0)</f>
        <v>0</v>
      </c>
      <c r="BG22" s="55">
        <f>IF(BG$15&gt;=LCC總表!$E$9,((LCC總表!$Q$27*(LCC總表!$Q$29/100))*(LCC總表!$Q$30*(1+W$9))),0)</f>
        <v>0</v>
      </c>
      <c r="BH22" s="55">
        <f>IF(BH$15&gt;=LCC總表!$E$9,((LCC總表!$Q$27*(LCC總表!$Q$29/100))*(LCC總表!$Q$30*(1+X$9))),0)</f>
        <v>0</v>
      </c>
      <c r="BI22" s="55">
        <f>IF(BI$15&gt;=LCC總表!$E$9,((LCC總表!$Q$27*(LCC總表!$Q$29/100))*(LCC總表!$Q$30*(1+Y$9))),0)</f>
        <v>0</v>
      </c>
      <c r="BJ22" s="55">
        <f>IF(BJ$15&gt;=LCC總表!$E$9,((LCC總表!$Q$27*(LCC總表!$Q$29/100))*(LCC總表!$Q$30*(1+Z$9))),0)</f>
        <v>0</v>
      </c>
      <c r="BK22" s="55">
        <f>SUM(AN22:INDEX(AN22:BJ22,LCC總表!$E$6+LCC總表!$E$9-2018))</f>
        <v>0</v>
      </c>
    </row>
    <row r="23" spans="1:63" ht="17.25" thickTop="1">
      <c r="B23" s="68" t="s">
        <v>53</v>
      </c>
      <c r="C23" s="59" t="s">
        <v>86</v>
      </c>
      <c r="D23" s="49">
        <f>E10</f>
        <v>46.477328999999997</v>
      </c>
      <c r="E23" s="49">
        <f>G10</f>
        <v>44.455196000000001</v>
      </c>
      <c r="F23" s="49">
        <f>I10</f>
        <v>47.502364999999998</v>
      </c>
      <c r="G23" s="49">
        <f>N10</f>
        <v>50.901179999999997</v>
      </c>
      <c r="H23" s="57">
        <f>BK28</f>
        <v>822517.46501505119</v>
      </c>
      <c r="I23" s="57">
        <f>BK29</f>
        <v>631393.07480408496</v>
      </c>
      <c r="J23" s="57">
        <f>BK30</f>
        <v>1172563.0021783113</v>
      </c>
      <c r="K23" s="57">
        <f>BK31</f>
        <v>666205.01730679662</v>
      </c>
      <c r="L23" s="57">
        <f>BK32</f>
        <v>3271011.4873446836</v>
      </c>
      <c r="M23" s="57">
        <f>BK33</f>
        <v>0</v>
      </c>
      <c r="N23" s="57">
        <f>BK34</f>
        <v>0</v>
      </c>
      <c r="O23" s="57">
        <f>BK35</f>
        <v>0</v>
      </c>
      <c r="P23" s="57">
        <f>BK36</f>
        <v>0</v>
      </c>
      <c r="Q23" s="57">
        <f>BK37</f>
        <v>0</v>
      </c>
      <c r="AM23" s="52" t="s">
        <v>104</v>
      </c>
      <c r="AN23" s="55">
        <f>IF($AN$15&gt;=LCC總表!$E$9,(((LCC總表!$S$27*(LCC總表!$S$29/100))*LCC總表!$S$30)),0)</f>
        <v>0</v>
      </c>
      <c r="AO23" s="55">
        <f>IF(AO$15&gt;=LCC總表!$E$9,((LCC總表!$S$27*(LCC總表!$S$29/100))*(LCC總表!$S$30*(1+E$9))),0)</f>
        <v>0</v>
      </c>
      <c r="AP23" s="55">
        <f>IF(AP$15&gt;=LCC總表!$E$9,((LCC總表!$S$27*(LCC總表!$S$29/100))*(LCC總表!$S$30*(1+F$9))),0)</f>
        <v>0</v>
      </c>
      <c r="AQ23" s="55">
        <f>IF(AQ$15&gt;=LCC總表!$E$9,((LCC總表!$S$27*(LCC總表!$S$29/100))*(LCC總表!$S$30*(1+G$9))),0)</f>
        <v>0</v>
      </c>
      <c r="AR23" s="55">
        <f>IF(AR$15&gt;=LCC總表!$E$9,((LCC總表!$S$27*(LCC總表!$S$29/100))*(LCC總表!$S$30*(1+H$9))),0)</f>
        <v>0</v>
      </c>
      <c r="AS23" s="55">
        <f>IF(AS$15&gt;=LCC總表!$E$9,((LCC總表!$S$27*(LCC總表!$S$29/100))*(LCC總表!$S$30*(1+I$9))),0)</f>
        <v>0</v>
      </c>
      <c r="AT23" s="55">
        <f>IF(AT$15&gt;=LCC總表!$E$9,((LCC總表!$S$27*(LCC總表!$S$29/100))*(LCC總表!$S$30*(1+J$9))),0)</f>
        <v>0</v>
      </c>
      <c r="AU23" s="55">
        <f>IF(AU$15&gt;=LCC總表!$E$9,((LCC總表!$S$27*(LCC總表!$S$29/100))*(LCC總表!$S$30*(1+K$9))),0)</f>
        <v>0</v>
      </c>
      <c r="AV23" s="55">
        <f>IF(AV$15&gt;=LCC總表!$E$9,((LCC總表!$S$27*(LCC總表!$S$29/100))*(LCC總表!$S$30*(1+L$9))),0)</f>
        <v>0</v>
      </c>
      <c r="AW23" s="55">
        <f>IF(AW$15&gt;=LCC總表!$E$9,((LCC總表!$S$27*(LCC總表!$S$29/100))*(LCC總表!$S$30*(1+M$9))),0)</f>
        <v>0</v>
      </c>
      <c r="AX23" s="55">
        <f>IF(AX$15&gt;=LCC總表!$E$9,((LCC總表!$S$27*(LCC總表!$S$29/100))*(LCC總表!$S$30*(1+N$9))),0)</f>
        <v>0</v>
      </c>
      <c r="AY23" s="55">
        <f>IF(AY$15&gt;=LCC總表!$E$9,((LCC總表!$S$27*(LCC總表!$S$29/100))*(LCC總表!$S$30*(1+O$9))),0)</f>
        <v>0</v>
      </c>
      <c r="AZ23" s="55">
        <f>IF(AZ$15&gt;=LCC總表!$E$9,((LCC總表!$S$27*(LCC總表!$S$29/100))*(LCC總表!$S$30*(1+P$9))),0)</f>
        <v>0</v>
      </c>
      <c r="BA23" s="55">
        <f>IF(BA$15&gt;=LCC總表!$E$9,((LCC總表!$S$27*(LCC總表!$S$29/100))*(LCC總表!$S$30*(1+Q$9))),0)</f>
        <v>0</v>
      </c>
      <c r="BB23" s="55">
        <f>IF(BB$15&gt;=LCC總表!$E$9,((LCC總表!$S$27*(LCC總表!$S$29/100))*(LCC總表!$S$30*(1+R$9))),0)</f>
        <v>0</v>
      </c>
      <c r="BC23" s="55">
        <f>IF(BC$15&gt;=LCC總表!$E$9,((LCC總表!$S$27*(LCC總表!$S$29/100))*(LCC總表!$S$30*(1+S$9))),0)</f>
        <v>0</v>
      </c>
      <c r="BD23" s="55">
        <f>IF(BD$15&gt;=LCC總表!$E$9,((LCC總表!$S$27*(LCC總表!$S$29/100))*(LCC總表!$S$30*(1+T$9))),0)</f>
        <v>0</v>
      </c>
      <c r="BE23" s="55">
        <f>IF(BE$15&gt;=LCC總表!$E$9,((LCC總表!$S$27*(LCC總表!$S$29/100))*(LCC總表!$S$30*(1+U$9))),0)</f>
        <v>0</v>
      </c>
      <c r="BF23" s="55">
        <f>IF(BF$15&gt;=LCC總表!$E$9,((LCC總表!$S$27*(LCC總表!$S$29/100))*(LCC總表!$S$30*(1+V$9))),0)</f>
        <v>0</v>
      </c>
      <c r="BG23" s="55">
        <f>IF(BG$15&gt;=LCC總表!$E$9,((LCC總表!$S$27*(LCC總表!$S$29/100))*(LCC總表!$S$30*(1+W$9))),0)</f>
        <v>0</v>
      </c>
      <c r="BH23" s="55">
        <f>IF(BH$15&gt;=LCC總表!$E$9,((LCC總表!$S$27*(LCC總表!$S$29/100))*(LCC總表!$S$30*(1+X$9))),0)</f>
        <v>0</v>
      </c>
      <c r="BI23" s="55">
        <f>IF(BI$15&gt;=LCC總表!$E$9,((LCC總表!$S$27*(LCC總表!$S$29/100))*(LCC總表!$S$30*(1+Y$9))),0)</f>
        <v>0</v>
      </c>
      <c r="BJ23" s="55">
        <f>IF(BJ$15&gt;=LCC總表!$E$9,((LCC總表!$S$27*(LCC總表!$S$29/100))*(LCC總表!$S$30*(1+Z$9))),0)</f>
        <v>0</v>
      </c>
      <c r="BK23" s="55">
        <f>SUM(AN23:INDEX(AN23:BJ23,LCC總表!$E$6+LCC總表!$E$9-2018))</f>
        <v>0</v>
      </c>
    </row>
    <row r="24" spans="1:63" ht="17.25" thickBot="1">
      <c r="B24" s="67"/>
      <c r="C24" s="60" t="s">
        <v>87</v>
      </c>
      <c r="D24" s="45"/>
      <c r="E24" s="43">
        <f>G12</f>
        <v>-4.3972317305284975E-2</v>
      </c>
      <c r="F24" s="43">
        <f>I12</f>
        <v>2.3467381643512343E-2</v>
      </c>
      <c r="G24" s="44">
        <f>N12</f>
        <v>9.339654806992484E-2</v>
      </c>
      <c r="H24" s="45"/>
      <c r="I24" s="45"/>
      <c r="J24" s="45"/>
      <c r="K24" s="45"/>
      <c r="L24" s="45"/>
      <c r="M24" s="45"/>
      <c r="N24" s="45"/>
      <c r="O24" s="45"/>
      <c r="P24" s="45"/>
      <c r="Q24" s="45"/>
      <c r="AM24" s="52" t="s">
        <v>105</v>
      </c>
      <c r="AN24" s="55">
        <f>IF($AN$15&gt;=LCC總表!$E$9,(((LCC總表!$U$27*(LCC總表!$U$29/100))*LCC總表!$U$30)),0)</f>
        <v>0</v>
      </c>
      <c r="AO24" s="55">
        <f>IF(AO$15&gt;=LCC總表!$E$9,((LCC總表!$U$27*(LCC總表!$U$29/100))*(LCC總表!$U$30*(1+E$9))),0)</f>
        <v>0</v>
      </c>
      <c r="AP24" s="55">
        <f>IF(AP$15&gt;=LCC總表!$E$9,((LCC總表!$U$27*(LCC總表!$U$29/100))*(LCC總表!$U$30*(1+F$9))),0)</f>
        <v>0</v>
      </c>
      <c r="AQ24" s="55">
        <f>IF(AQ$15&gt;=LCC總表!$E$9,((LCC總表!$U$27*(LCC總表!$U$29/100))*(LCC總表!$U$30*(1+G$9))),0)</f>
        <v>0</v>
      </c>
      <c r="AR24" s="55">
        <f>IF(AR$15&gt;=LCC總表!$E$9,((LCC總表!$U$27*(LCC總表!$U$29/100))*(LCC總表!$U$30*(1+H$9))),0)</f>
        <v>0</v>
      </c>
      <c r="AS24" s="55">
        <f>IF(AS$15&gt;=LCC總表!$E$9,((LCC總表!$U$27*(LCC總表!$U$29/100))*(LCC總表!$U$30*(1+I$9))),0)</f>
        <v>0</v>
      </c>
      <c r="AT24" s="55">
        <f>IF(AT$15&gt;=LCC總表!$E$9,((LCC總表!$U$27*(LCC總表!$U$29/100))*(LCC總表!$U$30*(1+J$9))),0)</f>
        <v>0</v>
      </c>
      <c r="AU24" s="55">
        <f>IF(AU$15&gt;=LCC總表!$E$9,((LCC總表!$U$27*(LCC總表!$U$29/100))*(LCC總表!$U$30*(1+K$9))),0)</f>
        <v>0</v>
      </c>
      <c r="AV24" s="55">
        <f>IF(AV$15&gt;=LCC總表!$E$9,((LCC總表!$U$27*(LCC總表!$U$29/100))*(LCC總表!$U$30*(1+L$9))),0)</f>
        <v>0</v>
      </c>
      <c r="AW24" s="55">
        <f>IF(AW$15&gt;=LCC總表!$E$9,((LCC總表!$U$27*(LCC總表!$U$29/100))*(LCC總表!$U$30*(1+M$9))),0)</f>
        <v>0</v>
      </c>
      <c r="AX24" s="55">
        <f>IF(AX$15&gt;=LCC總表!$E$9,((LCC總表!$U$27*(LCC總表!$U$29/100))*(LCC總表!$U$30*(1+N$9))),0)</f>
        <v>0</v>
      </c>
      <c r="AY24" s="55">
        <f>IF(AY$15&gt;=LCC總表!$E$9,((LCC總表!$U$27*(LCC總表!$U$29/100))*(LCC總表!$U$30*(1+O$9))),0)</f>
        <v>0</v>
      </c>
      <c r="AZ24" s="55">
        <f>IF(AZ$15&gt;=LCC總表!$E$9,((LCC總表!$U$27*(LCC總表!$U$29/100))*(LCC總表!$U$30*(1+P$9))),0)</f>
        <v>0</v>
      </c>
      <c r="BA24" s="55">
        <f>IF(BA$15&gt;=LCC總表!$E$9,((LCC總表!$U$27*(LCC總表!$U$29/100))*(LCC總表!$U$30*(1+Q$9))),0)</f>
        <v>0</v>
      </c>
      <c r="BB24" s="55">
        <f>IF(BB$15&gt;=LCC總表!$E$9,((LCC總表!$U$27*(LCC總表!$U$29/100))*(LCC總表!$U$30*(1+R$9))),0)</f>
        <v>0</v>
      </c>
      <c r="BC24" s="55">
        <f>IF(BC$15&gt;=LCC總表!$E$9,((LCC總表!$U$27*(LCC總表!$U$29/100))*(LCC總表!$U$30*(1+S$9))),0)</f>
        <v>0</v>
      </c>
      <c r="BD24" s="55">
        <f>IF(BD$15&gt;=LCC總表!$E$9,((LCC總表!$U$27*(LCC總表!$U$29/100))*(LCC總表!$U$30*(1+T$9))),0)</f>
        <v>0</v>
      </c>
      <c r="BE24" s="55">
        <f>IF(BE$15&gt;=LCC總表!$E$9,((LCC總表!$U$27*(LCC總表!$U$29/100))*(LCC總表!$U$30*(1+U$9))),0)</f>
        <v>0</v>
      </c>
      <c r="BF24" s="55">
        <f>IF(BF$15&gt;=LCC總表!$E$9,((LCC總表!$U$27*(LCC總表!$U$29/100))*(LCC總表!$U$30*(1+V$9))),0)</f>
        <v>0</v>
      </c>
      <c r="BG24" s="55">
        <f>IF(BG$15&gt;=LCC總表!$E$9,((LCC總表!$U$27*(LCC總表!$U$29/100))*(LCC總表!$U$30*(1+W$9))),0)</f>
        <v>0</v>
      </c>
      <c r="BH24" s="55">
        <f>IF(BH$15&gt;=LCC總表!$E$9,((LCC總表!$U$27*(LCC總表!$U$29/100))*(LCC總表!$U$30*(1+X$9))),0)</f>
        <v>0</v>
      </c>
      <c r="BI24" s="55">
        <f>IF(BI$15&gt;=LCC總表!$E$9,((LCC總表!$U$27*(LCC總表!$U$29/100))*(LCC總表!$U$30*(1+Y$9))),0)</f>
        <v>0</v>
      </c>
      <c r="BJ24" s="55">
        <f>IF(BJ$15&gt;=LCC總表!$E$9,((LCC總表!$U$27*(LCC總表!$U$29/100))*(LCC總表!$U$30*(1+Z$9))),0)</f>
        <v>0</v>
      </c>
      <c r="BK24" s="55">
        <f>SUM(AN24:INDEX(AN24:BJ24,LCC總表!$E$6+LCC總表!$E$9-2018))</f>
        <v>0</v>
      </c>
    </row>
    <row r="25" spans="1:63" ht="17.25" thickTop="1">
      <c r="AM25" s="52" t="s">
        <v>106</v>
      </c>
      <c r="AN25" s="55">
        <f>IF($AN$15&gt;=LCC總表!$E$9,(((LCC總表!$W$27*(LCC總表!$W$29/100))*LCC總表!$W$30)),0)</f>
        <v>0</v>
      </c>
      <c r="AO25" s="55">
        <f>IF(AO$15&gt;=LCC總表!$E$9,(((LCC總表!$W$27*(LCC總表!$W$29/100))*LCC總表!$W$30)),0)</f>
        <v>0</v>
      </c>
      <c r="AP25" s="55">
        <f>IF(AP$15&gt;=LCC總表!$E$9,(((LCC總表!$W$27*(LCC總表!$W$29/100))*LCC總表!$W$30)),0)</f>
        <v>0</v>
      </c>
      <c r="AQ25" s="55">
        <f>IF(AQ$15&gt;=LCC總表!$E$9,(((LCC總表!$W$27*(LCC總表!$W$29/100))*LCC總表!$W$30)),0)</f>
        <v>0</v>
      </c>
      <c r="AR25" s="55">
        <f>IF(AR$15&gt;=LCC總表!$E$9,(((LCC總表!$W$27*(LCC總表!$W$29/100))*LCC總表!$W$30)),0)</f>
        <v>0</v>
      </c>
      <c r="AS25" s="55">
        <f>IF(AS$15&gt;=LCC總表!$E$9,(((LCC總表!$W$27*(LCC總表!$W$29/100))*LCC總表!$W$30)),0)</f>
        <v>0</v>
      </c>
      <c r="AT25" s="55">
        <f>IF(AT$15&gt;=LCC總表!$E$9,(((LCC總表!$W$27*(LCC總表!$W$29/100))*LCC總表!$W$30)),0)</f>
        <v>0</v>
      </c>
      <c r="AU25" s="55">
        <f>IF(AU$15&gt;=LCC總表!$E$9,(((LCC總表!$W$27*(LCC總表!$W$29/100))*LCC總表!$W$30)),0)</f>
        <v>0</v>
      </c>
      <c r="AV25" s="55">
        <f>IF(AV$15&gt;=LCC總表!$E$9,(((LCC總表!$W$27*(LCC總表!$W$29/100))*LCC總表!$W$30)),0)</f>
        <v>0</v>
      </c>
      <c r="AW25" s="55">
        <f>IF(AW$15&gt;=LCC總表!$E$9,(((LCC總表!$W$27*(LCC總表!$W$29/100))*LCC總表!$W$30)),0)</f>
        <v>0</v>
      </c>
      <c r="AX25" s="55">
        <f>IF(AX$15&gt;=LCC總表!$E$9,(((LCC總表!$W$27*(LCC總表!$W$29/100))*LCC總表!$W$30)),0)</f>
        <v>0</v>
      </c>
      <c r="AY25" s="55">
        <f>IF(AY$15&gt;=LCC總表!$E$9,(((LCC總表!$W$27*(LCC總表!$W$29/100))*LCC總表!$W$30)),0)</f>
        <v>0</v>
      </c>
      <c r="AZ25" s="55">
        <f>IF(AZ$15&gt;=LCC總表!$E$9,(((LCC總表!$W$27*(LCC總表!$W$29/100))*LCC總表!$W$30)),0)</f>
        <v>0</v>
      </c>
      <c r="BA25" s="55">
        <f>IF(BA$15&gt;=LCC總表!$E$9,(((LCC總表!$W$27*(LCC總表!$W$29/100))*LCC總表!$W$30)),0)</f>
        <v>0</v>
      </c>
      <c r="BB25" s="55">
        <f>IF(BB$15&gt;=LCC總表!$E$9,(((LCC總表!$W$27*(LCC總表!$W$29/100))*LCC總表!$W$30)),0)</f>
        <v>0</v>
      </c>
      <c r="BC25" s="55">
        <f>IF(BC$15&gt;=LCC總表!$E$9,(((LCC總表!$W$27*(LCC總表!$W$29/100))*LCC總表!$W$30)),0)</f>
        <v>0</v>
      </c>
      <c r="BD25" s="55">
        <f>IF(BD$15&gt;=LCC總表!$E$9,(((LCC總表!$W$27*(LCC總表!$W$29/100))*LCC總表!$W$30)),0)</f>
        <v>0</v>
      </c>
      <c r="BE25" s="55">
        <f>IF(BE$15&gt;=LCC總表!$E$9,(((LCC總表!$W$27*(LCC總表!$W$29/100))*LCC總表!$W$30)),0)</f>
        <v>0</v>
      </c>
      <c r="BF25" s="55">
        <f>IF(BF$15&gt;=LCC總表!$E$9,(((LCC總表!$W$27*(LCC總表!$W$29/100))*LCC總表!$W$30)),0)</f>
        <v>0</v>
      </c>
      <c r="BG25" s="55">
        <f>IF(BG$15&gt;=LCC總表!$E$9,(((LCC總表!$W$27*(LCC總表!$W$29/100))*LCC總表!$W$30)),0)</f>
        <v>0</v>
      </c>
      <c r="BH25" s="55">
        <f>IF(BH$15&gt;=LCC總表!$E$9,(((LCC總表!$W$27*(LCC總表!$W$29/100))*LCC總表!$W$30)),0)</f>
        <v>0</v>
      </c>
      <c r="BI25" s="55">
        <f>IF(BI$15&gt;=LCC總表!$E$9,(((LCC總表!$W$27*(LCC總表!$W$29/100))*LCC總表!$W$30)),0)</f>
        <v>0</v>
      </c>
      <c r="BJ25" s="55">
        <f>IF(BJ$15&gt;=LCC總表!$E$9,(((LCC總表!$W$27*(LCC總表!$W$29/100))*LCC總表!$W$30)),0)</f>
        <v>0</v>
      </c>
      <c r="BK25" s="55">
        <f>SUM(AN25:INDEX(AN25:BJ25,LCC總表!$E$6+LCC總表!$E$9-2018))</f>
        <v>0</v>
      </c>
    </row>
    <row r="27" spans="1:63" ht="17.25" thickBot="1">
      <c r="A27" s="46" t="s">
        <v>65</v>
      </c>
      <c r="B27" s="46" t="s">
        <v>66</v>
      </c>
      <c r="AM27" s="53" t="s">
        <v>54</v>
      </c>
      <c r="AN27" s="51">
        <v>2018</v>
      </c>
      <c r="AO27" s="51">
        <v>2019</v>
      </c>
      <c r="AP27" s="51">
        <v>2020</v>
      </c>
      <c r="AQ27" s="51">
        <v>2021</v>
      </c>
      <c r="AR27" s="51">
        <v>2022</v>
      </c>
      <c r="AS27" s="51">
        <v>2023</v>
      </c>
      <c r="AT27" s="51">
        <v>2024</v>
      </c>
      <c r="AU27" s="51">
        <v>2025</v>
      </c>
      <c r="AV27" s="51">
        <v>2026</v>
      </c>
      <c r="AW27" s="51">
        <v>2027</v>
      </c>
      <c r="AX27" s="51">
        <v>2028</v>
      </c>
      <c r="AY27" s="51">
        <v>2029</v>
      </c>
      <c r="AZ27" s="51">
        <v>2030</v>
      </c>
      <c r="BA27" s="51">
        <v>2031</v>
      </c>
      <c r="BB27" s="51">
        <v>2032</v>
      </c>
      <c r="BC27" s="51">
        <v>2033</v>
      </c>
      <c r="BD27" s="51">
        <v>2034</v>
      </c>
      <c r="BE27" s="51">
        <v>2035</v>
      </c>
      <c r="BF27" s="51">
        <v>2036</v>
      </c>
      <c r="BG27" s="51">
        <v>2037</v>
      </c>
      <c r="BH27" s="51">
        <v>2038</v>
      </c>
      <c r="BI27" s="51">
        <v>2039</v>
      </c>
      <c r="BJ27" s="51">
        <v>2040</v>
      </c>
      <c r="BK27" s="66" t="s">
        <v>116</v>
      </c>
    </row>
    <row r="28" spans="1:63" ht="18" thickTop="1" thickBot="1">
      <c r="A28" s="47" t="s">
        <v>33</v>
      </c>
      <c r="B28" s="47" t="s">
        <v>67</v>
      </c>
      <c r="AM28" s="52" t="s">
        <v>97</v>
      </c>
      <c r="AN28" s="55">
        <f>IF(AN27&gt;=LCC總表!$E$9,((LCC總表!$E$27*(LCC總表!$E$29/100))*LCC總表!$E$30),0)</f>
        <v>0</v>
      </c>
      <c r="AO28" s="55">
        <f>IF(AO$27&gt;=LCC總表!$E$9,((LCC總表!$E$27*(LCC總表!$E$29/100))*(LCC總表!$E$30*(1+E$12))),0)</f>
        <v>101421.6447</v>
      </c>
      <c r="AP28" s="55">
        <f>IF(AP$27&gt;=LCC總表!$E$9,((LCC總表!$E$27*(LCC總表!$E$29/100))*(LCC總表!$E$30*(1+F$12))),0)</f>
        <v>98749.48467116234</v>
      </c>
      <c r="AQ28" s="55">
        <f>IF(AQ$27&gt;=LCC總表!$E$9,((LCC總表!$E$27*(LCC總表!$E$29/100))*(LCC總表!$E$30*(1+G$12))),0)</f>
        <v>96961.899957627727</v>
      </c>
      <c r="AR28" s="55">
        <f>IF(AR$27&gt;=LCC總表!$E$9,((LCC總表!$E$27*(LCC總表!$E$29/100))*(LCC總表!$E$30*(1+H$12))),0)</f>
        <v>99808.038159735501</v>
      </c>
      <c r="AS28" s="55">
        <f>IF(AS$27&gt;=LCC總表!$E$9,((LCC總表!$E$27*(LCC總表!$E$29/100))*(LCC總表!$E$30*(1+I$12))),0)</f>
        <v>103801.74514308761</v>
      </c>
      <c r="AT28" s="55">
        <f>IF(AT$27&gt;=LCC總表!$E$9,((LCC總表!$E$27*(LCC總表!$E$29/100))*(LCC總表!$E$30*(1+J$12))),0)</f>
        <v>104417.76235297788</v>
      </c>
      <c r="AU28" s="55">
        <f>IF(AU$27&gt;=LCC總表!$E$9,((LCC總表!$E$27*(LCC總表!$E$29/100))*(LCC總表!$E$30*(1+K$12))),0)</f>
        <v>107191.51969447355</v>
      </c>
      <c r="AV28" s="55">
        <f>IF(AV$27&gt;=LCC總表!$E$9,((LCC總表!$E$27*(LCC總表!$E$29/100))*(LCC總表!$E$30*(1+L$12))),0)</f>
        <v>110165.37033598663</v>
      </c>
      <c r="AW28" s="55">
        <f>IF(AW$27&gt;=LCC總表!$E$9,((LCC總表!$E$27*(LCC總表!$E$29/100))*(LCC總表!$E$30*(1+M$12))),0)</f>
        <v>110686.10171072664</v>
      </c>
      <c r="AX28" s="55">
        <f>IF(AX$27&gt;=LCC總表!$E$9,((LCC總表!$E$27*(LCC總表!$E$29/100))*(LCC總表!$E$30*(1+N$12))),0)</f>
        <v>110894.07621455438</v>
      </c>
      <c r="AY28" s="55">
        <f>IF(AY$27&gt;=LCC總表!$E$9,((LCC總表!$E$27*(LCC總表!$E$29/100))*(LCC總表!$E$30*(1+O$12))),0)</f>
        <v>111673.26331178485</v>
      </c>
      <c r="AZ28" s="55">
        <f>IF(AZ$27&gt;=LCC總表!$E$9,((LCC總表!$E$27*(LCC總表!$E$29/100))*(LCC總表!$E$30*(1+P$12))),0)</f>
        <v>112830.21849951375</v>
      </c>
      <c r="BA28" s="55">
        <f>IF(BA$27&gt;=LCC總表!$E$9,((LCC總表!$E$27*(LCC總表!$E$29/100))*(LCC總表!$E$30*(1+Q$12))),0)</f>
        <v>113641.8325790784</v>
      </c>
      <c r="BB28" s="55">
        <f>IF(BB$27&gt;=LCC總表!$E$9,((LCC總表!$E$27*(LCC總表!$E$29/100))*(LCC總表!$E$30*(1+R$12))),0)</f>
        <v>114508.13082061661</v>
      </c>
      <c r="BC28" s="55">
        <f>IF(BC$27&gt;=LCC總表!$E$9,((LCC總表!$E$27*(LCC總表!$E$29/100))*(LCC總表!$E$30*(1+S$12))),0)</f>
        <v>114470.78459011967</v>
      </c>
      <c r="BD28" s="55">
        <f>IF(BD$27&gt;=LCC總表!$E$9,((LCC總表!$E$27*(LCC總表!$E$29/100))*(LCC總表!$E$30*(1+T$12))),0)</f>
        <v>114221.47496828481</v>
      </c>
      <c r="BE28" s="55">
        <f>IF(BE$27&gt;=LCC總表!$E$9,((LCC總表!$E$27*(LCC總表!$E$29/100))*(LCC總表!$E$30*(1+U$12))),0)</f>
        <v>114169.66887017569</v>
      </c>
      <c r="BF28" s="55">
        <f>IF(BF$27&gt;=LCC總表!$E$9,((LCC總表!$E$27*(LCC總表!$E$29/100))*(LCC總表!$E$30*(1+V$12))),0)</f>
        <v>114511.27028949543</v>
      </c>
      <c r="BG28" s="55">
        <f>IF(BG$27&gt;=LCC總表!$E$9,((LCC總表!$E$27*(LCC總表!$E$29/100))*(LCC總表!$E$30*(1+W$12))),0)</f>
        <v>115056.20938068163</v>
      </c>
      <c r="BH28" s="55">
        <f>IF(BH$27&gt;=LCC總表!$E$9,((LCC總表!$E$27*(LCC總表!$E$29/100))*(LCC總表!$E$30*(1+X$12))),0)</f>
        <v>114430.45339596808</v>
      </c>
      <c r="BI28" s="55">
        <f>IF(BI$27&gt;=LCC總表!$E$9,((LCC總表!$E$27*(LCC總表!$E$29/100))*(LCC總表!$E$30*(1+Y$12))),0)</f>
        <v>113882.4614513132</v>
      </c>
      <c r="BJ28" s="55">
        <f>IF(BJ$27&gt;=LCC總表!$E$9,((LCC總表!$E$27*(LCC總表!$E$29/100))*(LCC總表!$E$30*(1+Z$12))),0)</f>
        <v>113179.67884042281</v>
      </c>
      <c r="BK28" s="55">
        <f>SUM(AN28:INDEX(AN28:BJ28,LCC總表!$E$6+LCC總表!$E$9-2018))</f>
        <v>822517.46501505119</v>
      </c>
    </row>
    <row r="29" spans="1:63">
      <c r="A29" s="69" t="s">
        <v>68</v>
      </c>
      <c r="B29" s="69" t="s">
        <v>69</v>
      </c>
      <c r="AM29" s="52" t="s">
        <v>98</v>
      </c>
      <c r="AN29" s="55">
        <f>IF(AN27&gt;=LCC總表!$E$9,((LCC總表!$G$27*(LCC總表!$G$29/100))*LCC總表!$G$30),0)</f>
        <v>0</v>
      </c>
      <c r="AO29" s="55">
        <f>IF(AO$27&gt;=LCC總表!$E$9,((LCC總表!$G$27*(LCC總表!$G$29/100))*(LCC總表!$G$30*(1+E$12))),0)</f>
        <v>77854.789499999999</v>
      </c>
      <c r="AP29" s="55">
        <f>IF(AP$27&gt;=LCC總表!$E$9,((LCC總表!$G$27*(LCC總表!$G$29/100))*(LCC總表!$G$30*(1+F$12))),0)</f>
        <v>75803.546324336232</v>
      </c>
      <c r="AQ29" s="55">
        <f>IF(AQ$27&gt;=LCC總表!$E$9,((LCC總表!$G$27*(LCC總表!$G$29/100))*(LCC總表!$G$30*(1+G$12))),0)</f>
        <v>74431.333992369837</v>
      </c>
      <c r="AR29" s="55">
        <f>IF(AR$27&gt;=LCC總表!$E$9,((LCC總表!$G$27*(LCC總表!$G$29/100))*(LCC總表!$G$30*(1+H$12))),0)</f>
        <v>76616.128877805255</v>
      </c>
      <c r="AS29" s="55">
        <f>IF(AS$27&gt;=LCC總表!$E$9,((LCC總表!$G$27*(LCC總表!$G$29/100))*(LCC總表!$G$30*(1+I$12))),0)</f>
        <v>79681.837557971812</v>
      </c>
      <c r="AT29" s="55">
        <f>IF(AT$27&gt;=LCC總表!$E$9,((LCC總表!$G$27*(LCC總表!$G$29/100))*(LCC總表!$G$30*(1+J$12))),0)</f>
        <v>80154.713839422853</v>
      </c>
      <c r="AU29" s="55">
        <f>IF(AU$27&gt;=LCC總表!$E$9,((LCC總表!$G$27*(LCC總表!$G$29/100))*(LCC總表!$G$30*(1+K$12))),0)</f>
        <v>82283.946653434046</v>
      </c>
      <c r="AV29" s="55">
        <f>IF(AV$27&gt;=LCC總表!$E$9,((LCC總表!$G$27*(LCC總表!$G$29/100))*(LCC總表!$G$30*(1+L$12))),0)</f>
        <v>84566.778058744923</v>
      </c>
      <c r="AW29" s="55">
        <f>IF(AW$27&gt;=LCC總表!$E$9,((LCC總表!$G$27*(LCC總表!$G$29/100))*(LCC總表!$G$30*(1+M$12))),0)</f>
        <v>84966.509611968577</v>
      </c>
      <c r="AX29" s="55">
        <f>IF(AX$27&gt;=LCC總表!$E$9,((LCC總表!$G$27*(LCC總表!$G$29/100))*(LCC總表!$G$30*(1+N$12))),0)</f>
        <v>85126.15809001062</v>
      </c>
      <c r="AY29" s="55">
        <f>IF(AY$27&gt;=LCC總表!$E$9,((LCC總表!$G$27*(LCC總表!$G$29/100))*(LCC總表!$G$30*(1+O$12))),0)</f>
        <v>85724.289264233172</v>
      </c>
      <c r="AZ29" s="55">
        <f>IF(AZ$27&gt;=LCC總表!$E$9,((LCC總表!$G$27*(LCC總表!$G$29/100))*(LCC總表!$G$30*(1+P$12))),0)</f>
        <v>86612.408391742923</v>
      </c>
      <c r="BA29" s="55">
        <f>IF(BA$27&gt;=LCC總表!$E$9,((LCC總表!$G$27*(LCC總表!$G$29/100))*(LCC總表!$G$30*(1+Q$12))),0)</f>
        <v>87235.431647840262</v>
      </c>
      <c r="BB29" s="55">
        <f>IF(BB$27&gt;=LCC總表!$E$9,((LCC總表!$G$27*(LCC總表!$G$29/100))*(LCC總表!$G$30*(1+R$12))),0)</f>
        <v>87900.432372672498</v>
      </c>
      <c r="BC29" s="55">
        <f>IF(BC$27&gt;=LCC總表!$E$9,((LCC總表!$G$27*(LCC總表!$G$29/100))*(LCC總表!$G$30*(1+S$12))),0)</f>
        <v>87871.76410444871</v>
      </c>
      <c r="BD29" s="55">
        <f>IF(BD$27&gt;=LCC總表!$E$9,((LCC總表!$G$27*(LCC總表!$G$29/100))*(LCC總表!$G$30*(1+T$12))),0)</f>
        <v>87680.385349098287</v>
      </c>
      <c r="BE29" s="55">
        <f>IF(BE$27&gt;=LCC總表!$E$9,((LCC總表!$G$27*(LCC總表!$G$29/100))*(LCC總表!$G$30*(1+U$12))),0)</f>
        <v>87640.617182500006</v>
      </c>
      <c r="BF29" s="55">
        <f>IF(BF$27&gt;=LCC總表!$E$9,((LCC總表!$G$27*(LCC總表!$G$29/100))*(LCC總表!$G$30*(1+V$12))),0)</f>
        <v>87902.842338409348</v>
      </c>
      <c r="BG29" s="55">
        <f>IF(BG$27&gt;=LCC總表!$E$9,((LCC總表!$G$27*(LCC總表!$G$29/100))*(LCC總表!$G$30*(1+W$12))),0)</f>
        <v>88321.156578531532</v>
      </c>
      <c r="BH29" s="55">
        <f>IF(BH$27&gt;=LCC總表!$E$9,((LCC總表!$G$27*(LCC總表!$G$29/100))*(LCC總表!$G$30*(1+X$12))),0)</f>
        <v>87840.804474083372</v>
      </c>
      <c r="BI29" s="55">
        <f>IF(BI$27&gt;=LCC總表!$E$9,((LCC總表!$G$27*(LCC總表!$G$29/100))*(LCC總表!$G$30*(1+Y$12))),0)</f>
        <v>87420.146757232113</v>
      </c>
      <c r="BJ29" s="55">
        <f>IF(BJ$27&gt;=LCC總表!$E$9,((LCC總表!$G$27*(LCC總表!$G$29/100))*(LCC總表!$G$30*(1+Z$12))),0)</f>
        <v>86880.666329785148</v>
      </c>
      <c r="BK29" s="55">
        <f>SUM(AN29:INDEX(AN29:BJ29,LCC總表!$E$6+LCC總表!$E$9-2018))</f>
        <v>631393.07480408496</v>
      </c>
    </row>
    <row r="30" spans="1:63" ht="17.25" thickBot="1">
      <c r="A30" s="70"/>
      <c r="B30" s="70" t="s">
        <v>70</v>
      </c>
      <c r="AM30" s="52" t="s">
        <v>99</v>
      </c>
      <c r="AN30" s="55">
        <f>IF(AN27&gt;=LCC總表!$E$9,((LCC總表!$I$27*(LCC總表!$I$29/100))*LCC總表!$I$30),0)</f>
        <v>0</v>
      </c>
      <c r="AO30" s="55">
        <f>IF(AO$27&gt;=LCC總表!$E$9,((LCC總表!$I$27*(LCC總表!$I$29/100))*(LCC總表!$I$30*(1+E$12))),0)</f>
        <v>144584.49</v>
      </c>
      <c r="AP30" s="55">
        <f>IF(AP$27&gt;=LCC總表!$E$9,((LCC總表!$I$27*(LCC總表!$I$29/100))*(LCC總表!$I$30*(1+F$12))),0)</f>
        <v>140775.11680248688</v>
      </c>
      <c r="AQ30" s="55">
        <f>IF(AQ$27&gt;=LCC總表!$E$9,((LCC總表!$I$27*(LCC總表!$I$29/100))*(LCC總表!$I$30*(1+G$12))),0)</f>
        <v>138226.77492829721</v>
      </c>
      <c r="AR30" s="55">
        <f>IF(AR$27&gt;=LCC總表!$E$9,((LCC總表!$I$27*(LCC總表!$I$29/100))*(LCC總表!$I$30*(1+H$12))),0)</f>
        <v>142284.16762428914</v>
      </c>
      <c r="AS30" s="55">
        <f>IF(AS$27&gt;=LCC總表!$E$9,((LCC總表!$I$27*(LCC總表!$I$29/100))*(LCC總表!$I$30*(1+I$12))),0)</f>
        <v>147977.5094065626</v>
      </c>
      <c r="AT30" s="55">
        <f>IF(AT$27&gt;=LCC總表!$E$9,((LCC總表!$I$27*(LCC總表!$I$29/100))*(LCC總表!$I$30*(1+J$12))),0)</f>
        <v>148855.69013797017</v>
      </c>
      <c r="AU30" s="55">
        <f>IF(AU$27&gt;=LCC總表!$E$9,((LCC總表!$I$27*(LCC總表!$I$29/100))*(LCC總表!$I$30*(1+K$12))),0)</f>
        <v>152809.89825390215</v>
      </c>
      <c r="AV30" s="55">
        <f>IF(AV$27&gt;=LCC總表!$E$9,((LCC總表!$I$27*(LCC總表!$I$29/100))*(LCC總表!$I$30*(1+L$12))),0)</f>
        <v>157049.35502480328</v>
      </c>
      <c r="AW30" s="55">
        <f>IF(AW$27&gt;=LCC總表!$E$9,((LCC總表!$I$27*(LCC總表!$I$29/100))*(LCC總表!$I$30*(1+M$12))),0)</f>
        <v>157791.69834280491</v>
      </c>
      <c r="AX30" s="55">
        <f>IF(AX$27&gt;=LCC總表!$E$9,((LCC總表!$I$27*(LCC總表!$I$29/100))*(LCC總表!$I$30*(1+N$12))),0)</f>
        <v>158088.18227045058</v>
      </c>
      <c r="AY30" s="55">
        <f>IF(AY$27&gt;=LCC總表!$E$9,((LCC總表!$I$27*(LCC總表!$I$29/100))*(LCC總表!$I$30*(1+O$12))),0)</f>
        <v>159198.97444307685</v>
      </c>
      <c r="AZ30" s="55">
        <f>IF(AZ$27&gt;=LCC總表!$E$9,((LCC總表!$I$27*(LCC總表!$I$29/100))*(LCC總表!$I$30*(1+P$12))),0)</f>
        <v>160848.3045862178</v>
      </c>
      <c r="BA30" s="55">
        <f>IF(BA$27&gt;=LCC總表!$E$9,((LCC總表!$I$27*(LCC總表!$I$29/100))*(LCC總表!$I$30*(1+Q$12))),0)</f>
        <v>162005.32395932876</v>
      </c>
      <c r="BB30" s="55">
        <f>IF(BB$27&gt;=LCC總表!$E$9,((LCC總表!$I$27*(LCC總表!$I$29/100))*(LCC總表!$I$30*(1+R$12))),0)</f>
        <v>163240.29988395699</v>
      </c>
      <c r="BC30" s="55">
        <f>IF(BC$27&gt;=LCC總表!$E$9,((LCC總表!$I$27*(LCC總表!$I$29/100))*(LCC總表!$I$30*(1+S$12))),0)</f>
        <v>163187.05991032222</v>
      </c>
      <c r="BD30" s="55">
        <f>IF(BD$27&gt;=LCC總表!$E$9,((LCC總表!$I$27*(LCC總表!$I$29/100))*(LCC總表!$I$30*(1+T$12))),0)</f>
        <v>162831.6495377956</v>
      </c>
      <c r="BE30" s="55">
        <f>IF(BE$27&gt;=LCC總表!$E$9,((LCC總表!$I$27*(LCC總表!$I$29/100))*(LCC總表!$I$30*(1+U$12))),0)</f>
        <v>162757.79589150389</v>
      </c>
      <c r="BF30" s="55">
        <f>IF(BF$27&gt;=LCC總表!$E$9,((LCC總表!$I$27*(LCC總表!$I$29/100))*(LCC總表!$I$30*(1+V$12))),0)</f>
        <v>163244.77544248351</v>
      </c>
      <c r="BG30" s="55">
        <f>IF(BG$27&gt;=LCC總表!$E$9,((LCC總表!$I$27*(LCC總表!$I$29/100))*(LCC總表!$I$30*(1+W$12))),0)</f>
        <v>164021.62875435079</v>
      </c>
      <c r="BH30" s="55">
        <f>IF(BH$27&gt;=LCC總表!$E$9,((LCC總表!$I$27*(LCC總表!$I$29/100))*(LCC總表!$I$30*(1+X$12))),0)</f>
        <v>163129.56463744681</v>
      </c>
      <c r="BI30" s="55">
        <f>IF(BI$27&gt;=LCC總表!$E$9,((LCC總表!$I$27*(LCC總表!$I$29/100))*(LCC總表!$I$30*(1+Y$12))),0)</f>
        <v>162348.35924409714</v>
      </c>
      <c r="BJ30" s="55">
        <f>IF(BJ$27&gt;=LCC總表!$E$9,((LCC總表!$I$27*(LCC總表!$I$29/100))*(LCC總表!$I$30*(1+Z$12))),0)</f>
        <v>161346.48764482443</v>
      </c>
      <c r="BK30" s="55">
        <f>SUM(AN30:INDEX(AN30:BJ30,LCC總表!$E$6+LCC總表!$E$9-2018))</f>
        <v>1172563.0021783113</v>
      </c>
    </row>
    <row r="31" spans="1:63" ht="17.25" thickBot="1">
      <c r="A31" s="48" t="s">
        <v>71</v>
      </c>
      <c r="B31" s="48" t="s">
        <v>72</v>
      </c>
      <c r="AM31" s="52" t="s">
        <v>100</v>
      </c>
      <c r="AN31" s="55">
        <f>IF(AN27&gt;=LCC總表!$E$9,((LCC總表!$K$27*(LCC總表!$K$29/100))*LCC總表!$K$30),0)</f>
        <v>0</v>
      </c>
      <c r="AO31" s="55">
        <f>IF(AO$27&gt;=LCC總表!$E$9,((LCC總表!$K$27*(LCC總表!$K$29/100))*(LCC總表!$K$30*(1+E$12))),0)</f>
        <v>82147.323839999997</v>
      </c>
      <c r="AP31" s="55">
        <f>IF(AP$27&gt;=LCC總表!$E$9,((LCC總表!$K$27*(LCC總表!$K$29/100))*(LCC總表!$K$30*(1+F$12))),0)</f>
        <v>79982.985094650983</v>
      </c>
      <c r="AQ31" s="55">
        <f>IF(AQ$27&gt;=LCC總表!$E$9,((LCC總表!$K$27*(LCC總表!$K$29/100))*(LCC總表!$K$30*(1+G$12))),0)</f>
        <v>78535.115650327512</v>
      </c>
      <c r="AR31" s="55">
        <f>IF(AR$27&gt;=LCC總表!$E$9,((LCC總表!$K$27*(LCC總表!$K$29/100))*(LCC總表!$K$30*(1+H$12))),0)</f>
        <v>80840.369497013977</v>
      </c>
      <c r="AS31" s="55">
        <f>IF(AS$27&gt;=LCC總表!$E$9,((LCC總表!$K$27*(LCC總表!$K$29/100))*(LCC總表!$K$30*(1+I$12))),0)</f>
        <v>84075.106439546478</v>
      </c>
      <c r="AT31" s="55">
        <f>IF(AT$27&gt;=LCC總表!$E$9,((LCC總表!$K$27*(LCC總表!$K$29/100))*(LCC總表!$K$30*(1+J$12))),0)</f>
        <v>84574.054818677527</v>
      </c>
      <c r="AU31" s="55">
        <f>IF(AU$27&gt;=LCC總表!$E$9,((LCC總表!$K$27*(LCC總表!$K$29/100))*(LCC總表!$K$30*(1+K$12))),0)</f>
        <v>86820.683171623386</v>
      </c>
      <c r="AV31" s="55">
        <f>IF(AV$27&gt;=LCC總表!$E$9,((LCC總表!$K$27*(LCC總表!$K$29/100))*(LCC總表!$K$30*(1+L$12))),0)</f>
        <v>89229.378794956807</v>
      </c>
      <c r="AW31" s="55">
        <f>IF(AW$27&gt;=LCC總表!$E$9,((LCC總表!$K$27*(LCC總表!$K$29/100))*(LCC總表!$K$30*(1+M$12))),0)</f>
        <v>89651.14960138523</v>
      </c>
      <c r="AX31" s="55">
        <f>IF(AX$27&gt;=LCC總表!$E$9,((LCC總表!$K$27*(LCC總表!$K$29/100))*(LCC總表!$K$30*(1+N$12))),0)</f>
        <v>89819.600319838239</v>
      </c>
      <c r="AY31" s="55">
        <f>IF(AY$27&gt;=LCC總表!$E$9,((LCC總表!$K$27*(LCC總表!$K$29/100))*(LCC總表!$K$30*(1+O$12))),0)</f>
        <v>90450.709537180082</v>
      </c>
      <c r="AZ31" s="55">
        <f>IF(AZ$27&gt;=LCC總表!$E$9,((LCC總表!$K$27*(LCC總表!$K$29/100))*(LCC總表!$K$30*(1+P$12))),0)</f>
        <v>91387.795232801174</v>
      </c>
      <c r="BA31" s="55">
        <f>IF(BA$27&gt;=LCC總表!$E$9,((LCC總表!$K$27*(LCC總表!$K$29/100))*(LCC總表!$K$30*(1+Q$12))),0)</f>
        <v>92045.168960315787</v>
      </c>
      <c r="BB31" s="55">
        <f>IF(BB$27&gt;=LCC總表!$E$9,((LCC總表!$K$27*(LCC總表!$K$29/100))*(LCC總表!$K$30*(1+R$12))),0)</f>
        <v>92746.834589976614</v>
      </c>
      <c r="BC31" s="55">
        <f>IF(BC$27&gt;=LCC總表!$E$9,((LCC總表!$K$27*(LCC總表!$K$29/100))*(LCC總表!$K$30*(1+S$12))),0)</f>
        <v>92716.585692910201</v>
      </c>
      <c r="BD31" s="55">
        <f>IF(BD$27&gt;=LCC總表!$E$9,((LCC總表!$K$27*(LCC總表!$K$29/100))*(LCC總表!$K$30*(1+T$12))),0)</f>
        <v>92514.655244021546</v>
      </c>
      <c r="BE31" s="55">
        <f>IF(BE$27&gt;=LCC總表!$E$9,((LCC總表!$K$27*(LCC總表!$K$29/100))*(LCC總表!$K$30*(1+U$12))),0)</f>
        <v>92472.694454183787</v>
      </c>
      <c r="BF31" s="55">
        <f>IF(BF$27&gt;=LCC總表!$E$9,((LCC總表!$K$27*(LCC總表!$K$29/100))*(LCC總表!$K$30*(1+V$12))),0)</f>
        <v>92749.377429500018</v>
      </c>
      <c r="BG31" s="55">
        <f>IF(BG$27&gt;=LCC總表!$E$9,((LCC總表!$K$27*(LCC總表!$K$29/100))*(LCC總表!$K$30*(1+W$12))),0)</f>
        <v>93190.755481780303</v>
      </c>
      <c r="BH31" s="55">
        <f>IF(BH$27&gt;=LCC總表!$E$9,((LCC總表!$K$27*(LCC總表!$K$29/100))*(LCC總表!$K$30*(1+X$12))),0)</f>
        <v>92683.919099140941</v>
      </c>
      <c r="BI31" s="55">
        <f>IF(BI$27&gt;=LCC總表!$E$9,((LCC總表!$K$27*(LCC總表!$K$29/100))*(LCC總表!$K$30*(1+Y$12))),0)</f>
        <v>92240.068362225458</v>
      </c>
      <c r="BJ31" s="55">
        <f>IF(BJ$27&gt;=LCC總表!$E$9,((LCC總表!$K$27*(LCC總表!$K$29/100))*(LCC總表!$K$30*(1+Z$12))),0)</f>
        <v>91670.84360850844</v>
      </c>
      <c r="BK31" s="55">
        <f>SUM(AN31:INDEX(AN31:BJ31,LCC總表!$E$6+LCC總表!$E$9-2018))</f>
        <v>666205.01730679662</v>
      </c>
    </row>
    <row r="32" spans="1:63" ht="17.25" thickBot="1">
      <c r="A32" s="48" t="s">
        <v>73</v>
      </c>
      <c r="B32" s="48" t="s">
        <v>74</v>
      </c>
      <c r="AM32" s="52" t="s">
        <v>101</v>
      </c>
      <c r="AN32" s="55">
        <f>IF(AN27&gt;=LCC總表!$E$9,((LCC總表!$M$27*(LCC總表!$M$29/100))*LCC總表!$M$30),0)</f>
        <v>0</v>
      </c>
      <c r="AO32" s="55">
        <f>IF(AO$27&gt;=LCC總表!$E$9,((LCC總表!$M$27*(LCC總表!$M$29/100))*(LCC總表!$M$30*(1+E$12))),0)</f>
        <v>403336.56</v>
      </c>
      <c r="AP32" s="55">
        <f>IF(AP$27&gt;=LCC總表!$E$9,((LCC總表!$M$27*(LCC總表!$M$29/100))*(LCC總表!$M$30*(1+F$12))),0)</f>
        <v>392709.8359216348</v>
      </c>
      <c r="AQ32" s="55">
        <f>IF(AQ$27&gt;=LCC總表!$E$9,((LCC總表!$M$27*(LCC總表!$M$29/100))*(LCC總表!$M$30*(1+G$12))),0)</f>
        <v>385600.91680285789</v>
      </c>
      <c r="AR32" s="55">
        <f>IF(AR$27&gt;=LCC總表!$E$9,((LCC總表!$M$27*(LCC總表!$M$29/100))*(LCC總表!$M$30*(1+H$12))),0)</f>
        <v>396919.52236401115</v>
      </c>
      <c r="AS32" s="55">
        <f>IF(AS$27&gt;=LCC總表!$E$9,((LCC總表!$M$27*(LCC總表!$M$29/100))*(LCC總表!$M$30*(1+I$12))),0)</f>
        <v>412801.81298430136</v>
      </c>
      <c r="AT32" s="55">
        <f>IF(AT$27&gt;=LCC總表!$E$9,((LCC總表!$M$27*(LCC總表!$M$29/100))*(LCC總表!$M$30*(1+J$12))),0)</f>
        <v>415251.60822350183</v>
      </c>
      <c r="AU32" s="55">
        <f>IF(AU$27&gt;=LCC總表!$E$9,((LCC總表!$M$27*(LCC總表!$M$29/100))*(LCC總表!$M$30*(1+K$12))),0)</f>
        <v>426282.36746333505</v>
      </c>
      <c r="AV32" s="55">
        <f>IF(AV$27&gt;=LCC總表!$E$9,((LCC總表!$M$27*(LCC總表!$M$29/100))*(LCC總表!$M$30*(1+L$12))),0)</f>
        <v>438108.86358504195</v>
      </c>
      <c r="AW32" s="55">
        <f>IF(AW$27&gt;=LCC總表!$E$9,((LCC總表!$M$27*(LCC總表!$M$29/100))*(LCC總表!$M$30*(1+M$12))),0)</f>
        <v>440179.72333093698</v>
      </c>
      <c r="AX32" s="55">
        <f>IF(AX$27&gt;=LCC總表!$E$9,((LCC總表!$M$27*(LCC總表!$M$29/100))*(LCC總表!$M$30*(1+N$12))),0)</f>
        <v>441006.80241439812</v>
      </c>
      <c r="AY32" s="55">
        <f>IF(AY$27&gt;=LCC總表!$E$9,((LCC總表!$M$27*(LCC總表!$M$29/100))*(LCC總表!$M$30*(1+O$12))),0)</f>
        <v>444105.49642910197</v>
      </c>
      <c r="AZ32" s="55">
        <f>IF(AZ$27&gt;=LCC總表!$E$9,((LCC總表!$M$27*(LCC總表!$M$29/100))*(LCC總表!$M$30*(1+P$12))),0)</f>
        <v>448706.50962380058</v>
      </c>
      <c r="BA32" s="55">
        <f>IF(BA$27&gt;=LCC總表!$E$9,((LCC總表!$M$27*(LCC總表!$M$29/100))*(LCC總表!$M$30*(1+Q$12))),0)</f>
        <v>451934.16020930896</v>
      </c>
      <c r="BB32" s="55">
        <f>IF(BB$27&gt;=LCC總表!$E$9,((LCC總表!$M$27*(LCC總表!$M$29/100))*(LCC總表!$M$30*(1+R$12))),0)</f>
        <v>455379.28036792605</v>
      </c>
      <c r="BC32" s="55">
        <f>IF(BC$27&gt;=LCC總表!$E$9,((LCC總表!$M$27*(LCC總表!$M$29/100))*(LCC總表!$M$30*(1+S$12))),0)</f>
        <v>455230.76078729652</v>
      </c>
      <c r="BD32" s="55">
        <f>IF(BD$27&gt;=LCC總表!$E$9,((LCC總表!$M$27*(LCC總表!$M$29/100))*(LCC總表!$M$30*(1+T$12))),0)</f>
        <v>454239.29899880727</v>
      </c>
      <c r="BE32" s="55">
        <f>IF(BE$27&gt;=LCC總表!$E$9,((LCC總表!$M$27*(LCC總表!$M$29/100))*(LCC總表!$M$30*(1+U$12))),0)</f>
        <v>454033.27499416645</v>
      </c>
      <c r="BF32" s="55">
        <f>IF(BF$27&gt;=LCC總表!$E$9,((LCC總表!$M$27*(LCC總表!$M$29/100))*(LCC總表!$M$30*(1+V$12))),0)</f>
        <v>455391.76549949287</v>
      </c>
      <c r="BG32" s="55">
        <f>IF(BG$27&gt;=LCC總表!$E$9,((LCC總表!$M$27*(LCC總表!$M$29/100))*(LCC總表!$M$30*(1+W$12))),0)</f>
        <v>457558.89519945683</v>
      </c>
      <c r="BH32" s="55">
        <f>IF(BH$27&gt;=LCC總表!$E$9,((LCC總表!$M$27*(LCC總表!$M$29/100))*(LCC總表!$M$30*(1+X$12))),0)</f>
        <v>455070.3705159899</v>
      </c>
      <c r="BI32" s="55">
        <f>IF(BI$27&gt;=LCC總表!$E$9,((LCC總表!$M$27*(LCC總表!$M$29/100))*(LCC總表!$M$30*(1+Y$12))),0)</f>
        <v>452891.10013915272</v>
      </c>
      <c r="BJ32" s="55">
        <f>IF(BJ$27&gt;=LCC總表!$E$9,((LCC總表!$M$27*(LCC總表!$M$29/100))*(LCC總表!$M$30*(1+Z$12))),0)</f>
        <v>450096.25371812691</v>
      </c>
      <c r="BK32" s="55">
        <f>SUM(AN32:INDEX(AN32:BJ32,LCC總表!$E$6+LCC總表!$E$9-2018))</f>
        <v>3271011.4873446836</v>
      </c>
    </row>
    <row r="33" spans="1:63" ht="15.75" customHeight="1" thickBot="1">
      <c r="A33" s="48" t="s">
        <v>75</v>
      </c>
      <c r="B33" s="48" t="s">
        <v>76</v>
      </c>
      <c r="AM33" s="52" t="s">
        <v>102</v>
      </c>
      <c r="AN33" s="55">
        <f>IF(AN27&gt;=LCC總表!$E$9,((LCC總表!$O$27*(LCC總表!$O$29/100))*LCC總表!$O$30),0)</f>
        <v>0</v>
      </c>
      <c r="AO33" s="55">
        <f>IF(AO$27&gt;=LCC總表!$E$9,((LCC總表!$O$27*(LCC總表!$O$29/100))*(LCC總表!$O$30*(1+E$12))),0)</f>
        <v>0</v>
      </c>
      <c r="AP33" s="55">
        <f>IF(AP$27&gt;=LCC總表!$E$9,((LCC總表!$O$27*(LCC總表!$O$29/100))*(LCC總表!$O$30*(1+F$12))),0)</f>
        <v>0</v>
      </c>
      <c r="AQ33" s="55">
        <f>IF(AQ$27&gt;=LCC總表!$E$9,((LCC總表!$O$27*(LCC總表!$O$29/100))*(LCC總表!$O$30*(1+G$12))),0)</f>
        <v>0</v>
      </c>
      <c r="AR33" s="55">
        <f>IF(AR$27&gt;=LCC總表!$E$9,((LCC總表!$O$27*(LCC總表!$O$29/100))*(LCC總表!$O$30*(1+H$12))),0)</f>
        <v>0</v>
      </c>
      <c r="AS33" s="55">
        <f>IF(AS$27&gt;=LCC總表!$E$9,((LCC總表!$O$27*(LCC總表!$O$29/100))*(LCC總表!$O$30*(1+I$12))),0)</f>
        <v>0</v>
      </c>
      <c r="AT33" s="55">
        <f>IF(AT$27&gt;=LCC總表!$E$9,((LCC總表!$O$27*(LCC總表!$O$29/100))*(LCC總表!$O$30*(1+J$12))),0)</f>
        <v>0</v>
      </c>
      <c r="AU33" s="55">
        <f>IF(AU$27&gt;=LCC總表!$E$9,((LCC總表!$O$27*(LCC總表!$O$29/100))*(LCC總表!$O$30*(1+K$12))),0)</f>
        <v>0</v>
      </c>
      <c r="AV33" s="55">
        <f>IF(AV$27&gt;=LCC總表!$E$9,((LCC總表!$O$27*(LCC總表!$O$29/100))*(LCC總表!$O$30*(1+L$12))),0)</f>
        <v>0</v>
      </c>
      <c r="AW33" s="55">
        <f>IF(AW$27&gt;=LCC總表!$E$9,((LCC總表!$O$27*(LCC總表!$O$29/100))*(LCC總表!$O$30*(1+M$12))),0)</f>
        <v>0</v>
      </c>
      <c r="AX33" s="55">
        <f>IF(AX$27&gt;=LCC總表!$E$9,((LCC總表!$O$27*(LCC總表!$O$29/100))*(LCC總表!$O$30*(1+N$12))),0)</f>
        <v>0</v>
      </c>
      <c r="AY33" s="55">
        <f>IF(AY$27&gt;=LCC總表!$E$9,((LCC總表!$O$27*(LCC總表!$O$29/100))*(LCC總表!$O$30*(1+O$12))),0)</f>
        <v>0</v>
      </c>
      <c r="AZ33" s="55">
        <f>IF(AZ$27&gt;=LCC總表!$E$9,((LCC總表!$O$27*(LCC總表!$O$29/100))*(LCC總表!$O$30*(1+P$12))),0)</f>
        <v>0</v>
      </c>
      <c r="BA33" s="55">
        <f>IF(BA$27&gt;=LCC總表!$E$9,((LCC總表!$O$27*(LCC總表!$O$29/100))*(LCC總表!$O$30*(1+Q$12))),0)</f>
        <v>0</v>
      </c>
      <c r="BB33" s="55">
        <f>IF(BB$27&gt;=LCC總表!$E$9,((LCC總表!$O$27*(LCC總表!$O$29/100))*(LCC總表!$O$30*(1+R$12))),0)</f>
        <v>0</v>
      </c>
      <c r="BC33" s="55">
        <f>IF(BC$27&gt;=LCC總表!$E$9,((LCC總表!$O$27*(LCC總表!$O$29/100))*(LCC總表!$O$30*(1+S$12))),0)</f>
        <v>0</v>
      </c>
      <c r="BD33" s="55">
        <f>IF(BD$27&gt;=LCC總表!$E$9,((LCC總表!$O$27*(LCC總表!$O$29/100))*(LCC總表!$O$30*(1+T$12))),0)</f>
        <v>0</v>
      </c>
      <c r="BE33" s="55">
        <f>IF(BE$27&gt;=LCC總表!$E$9,((LCC總表!$O$27*(LCC總表!$O$29/100))*(LCC總表!$O$30*(1+U$12))),0)</f>
        <v>0</v>
      </c>
      <c r="BF33" s="55">
        <f>IF(BF$27&gt;=LCC總表!$E$9,((LCC總表!$O$27*(LCC總表!$O$29/100))*(LCC總表!$O$30*(1+V$12))),0)</f>
        <v>0</v>
      </c>
      <c r="BG33" s="55">
        <f>IF(BG$27&gt;=LCC總表!$E$9,((LCC總表!$O$27*(LCC總表!$O$29/100))*(LCC總表!$O$30*(1+W$12))),0)</f>
        <v>0</v>
      </c>
      <c r="BH33" s="55">
        <f>IF(BH$27&gt;=LCC總表!$E$9,((LCC總表!$O$27*(LCC總表!$O$29/100))*(LCC總表!$O$30*(1+X$12))),0)</f>
        <v>0</v>
      </c>
      <c r="BI33" s="55">
        <f>IF(BI$27&gt;=LCC總表!$E$9,((LCC總表!$O$27*(LCC總表!$O$29/100))*(LCC總表!$O$30*(1+Y$12))),0)</f>
        <v>0</v>
      </c>
      <c r="BJ33" s="55">
        <f>IF(BJ$27&gt;=LCC總表!$E$9,((LCC總表!$O$27*(LCC總表!$O$29/100))*(LCC總表!$O$30*(1+Z$12))),0)</f>
        <v>0</v>
      </c>
      <c r="BK33" s="55">
        <f>SUM(AN33:INDEX(AN33:BJ33,LCC總表!$E$6+LCC總表!$E$9-2018))</f>
        <v>0</v>
      </c>
    </row>
    <row r="34" spans="1:63" ht="20.25" customHeight="1" thickBot="1">
      <c r="A34" s="48" t="s">
        <v>77</v>
      </c>
      <c r="B34" s="48" t="s">
        <v>78</v>
      </c>
      <c r="AM34" s="52" t="s">
        <v>103</v>
      </c>
      <c r="AN34" s="55">
        <f>IF(AN27&gt;=LCC總表!$E$9,((LCC總表!$Q$27*(LCC總表!$Q$29/100))*LCC總表!$Q$30),0)</f>
        <v>0</v>
      </c>
      <c r="AO34" s="55">
        <f>IF(AO$27&gt;=LCC總表!$E$9,((LCC總表!$Q$27*(LCC總表!$Q$29/100))*(LCC總表!$Q$30*(1+E$12))),0)</f>
        <v>0</v>
      </c>
      <c r="AP34" s="55">
        <f>IF(AP$27&gt;=LCC總表!$E$9,((LCC總表!$Q$27*(LCC總表!$Q$29/100))*(LCC總表!$Q$30*(1+F$12))),0)</f>
        <v>0</v>
      </c>
      <c r="AQ34" s="55">
        <f>IF(AQ$27&gt;=LCC總表!$E$9,((LCC總表!$Q$27*(LCC總表!$Q$29/100))*(LCC總表!$Q$30*(1+G$12))),0)</f>
        <v>0</v>
      </c>
      <c r="AR34" s="55">
        <f>IF(AR$27&gt;=LCC總表!$E$9,((LCC總表!$Q$27*(LCC總表!$Q$29/100))*(LCC總表!$Q$30*(1+H$12))),0)</f>
        <v>0</v>
      </c>
      <c r="AS34" s="55">
        <f>IF(AS$27&gt;=LCC總表!$E$9,((LCC總表!$Q$27*(LCC總表!$Q$29/100))*(LCC總表!$Q$30*(1+I$12))),0)</f>
        <v>0</v>
      </c>
      <c r="AT34" s="55">
        <f>IF(AT$27&gt;=LCC總表!$E$9,((LCC總表!$Q$27*(LCC總表!$Q$29/100))*(LCC總表!$Q$30*(1+J$12))),0)</f>
        <v>0</v>
      </c>
      <c r="AU34" s="55">
        <f>IF(AU$27&gt;=LCC總表!$E$9,((LCC總表!$Q$27*(LCC總表!$Q$29/100))*(LCC總表!$Q$30*(1+K$12))),0)</f>
        <v>0</v>
      </c>
      <c r="AV34" s="55">
        <f>IF(AV$27&gt;=LCC總表!$E$9,((LCC總表!$Q$27*(LCC總表!$Q$29/100))*(LCC總表!$Q$30*(1+L$12))),0)</f>
        <v>0</v>
      </c>
      <c r="AW34" s="55">
        <f>IF(AW$27&gt;=LCC總表!$E$9,((LCC總表!$Q$27*(LCC總表!$Q$29/100))*(LCC總表!$Q$30*(1+M$12))),0)</f>
        <v>0</v>
      </c>
      <c r="AX34" s="55">
        <f>IF(AX$27&gt;=LCC總表!$E$9,((LCC總表!$Q$27*(LCC總表!$Q$29/100))*(LCC總表!$Q$30*(1+N$12))),0)</f>
        <v>0</v>
      </c>
      <c r="AY34" s="55">
        <f>IF(AY$27&gt;=LCC總表!$E$9,((LCC總表!$Q$27*(LCC總表!$Q$29/100))*(LCC總表!$Q$30*(1+O$12))),0)</f>
        <v>0</v>
      </c>
      <c r="AZ34" s="55">
        <f>IF(AZ$27&gt;=LCC總表!$E$9,((LCC總表!$Q$27*(LCC總表!$Q$29/100))*(LCC總表!$Q$30*(1+P$12))),0)</f>
        <v>0</v>
      </c>
      <c r="BA34" s="55">
        <f>IF(BA$27&gt;=LCC總表!$E$9,((LCC總表!$Q$27*(LCC總表!$Q$29/100))*(LCC總表!$Q$30*(1+Q$12))),0)</f>
        <v>0</v>
      </c>
      <c r="BB34" s="55">
        <f>IF(BB$27&gt;=LCC總表!$E$9,((LCC總表!$Q$27*(LCC總表!$Q$29/100))*(LCC總表!$Q$30*(1+R$12))),0)</f>
        <v>0</v>
      </c>
      <c r="BC34" s="55">
        <f>IF(BC$27&gt;=LCC總表!$E$9,((LCC總表!$Q$27*(LCC總表!$Q$29/100))*(LCC總表!$Q$30*(1+S$12))),0)</f>
        <v>0</v>
      </c>
      <c r="BD34" s="55">
        <f>IF(BD$27&gt;=LCC總表!$E$9,((LCC總表!$Q$27*(LCC總表!$Q$29/100))*(LCC總表!$Q$30*(1+T$12))),0)</f>
        <v>0</v>
      </c>
      <c r="BE34" s="55">
        <f>IF(BE$27&gt;=LCC總表!$E$9,((LCC總表!$Q$27*(LCC總表!$Q$29/100))*(LCC總表!$Q$30*(1+U$12))),0)</f>
        <v>0</v>
      </c>
      <c r="BF34" s="55">
        <f>IF(BF$27&gt;=LCC總表!$E$9,((LCC總表!$Q$27*(LCC總表!$Q$29/100))*(LCC總表!$Q$30*(1+V$12))),0)</f>
        <v>0</v>
      </c>
      <c r="BG34" s="55">
        <f>IF(BG$27&gt;=LCC總表!$E$9,((LCC總表!$Q$27*(LCC總表!$Q$29/100))*(LCC總表!$Q$30*(1+W$12))),0)</f>
        <v>0</v>
      </c>
      <c r="BH34" s="55">
        <f>IF(BH$27&gt;=LCC總表!$E$9,((LCC總表!$Q$27*(LCC總表!$Q$29/100))*(LCC總表!$Q$30*(1+X$12))),0)</f>
        <v>0</v>
      </c>
      <c r="BI34" s="55">
        <f>IF(BI$27&gt;=LCC總表!$E$9,((LCC總表!$Q$27*(LCC總表!$Q$29/100))*(LCC總表!$Q$30*(1+Y$12))),0)</f>
        <v>0</v>
      </c>
      <c r="BJ34" s="55">
        <f>IF(BJ$27&gt;=LCC總表!$E$9,((LCC總表!$Q$27*(LCC總表!$Q$29/100))*(LCC總表!$Q$30*(1+Z$12))),0)</f>
        <v>0</v>
      </c>
      <c r="BK34" s="55">
        <f>SUM(AN34:INDEX(AN34:BJ34,LCC總表!$E$6+LCC總表!$E$9-2018))</f>
        <v>0</v>
      </c>
    </row>
    <row r="35" spans="1:63" ht="19.5" customHeight="1" thickBot="1">
      <c r="A35" s="48" t="s">
        <v>79</v>
      </c>
      <c r="B35" s="48" t="s">
        <v>80</v>
      </c>
      <c r="AM35" s="52" t="s">
        <v>104</v>
      </c>
      <c r="AN35" s="55">
        <f>IF(AN27&gt;=LCC總表!$E$9,((LCC總表!$S$27*(LCC總表!$S$29/100))*LCC總表!$S$30),0)</f>
        <v>0</v>
      </c>
      <c r="AO35" s="55">
        <f>IF(AO$27&gt;=LCC總表!$E$9,((LCC總表!$S$27*(LCC總表!$S$29/100))*(LCC總表!$S$30*(1+E$12))),0)</f>
        <v>0</v>
      </c>
      <c r="AP35" s="55">
        <f>IF(AP$27&gt;=LCC總表!$E$9,((LCC總表!$S$27*(LCC總表!$S$29/100))*(LCC總表!$S$30*(1+F$12))),0)</f>
        <v>0</v>
      </c>
      <c r="AQ35" s="55">
        <f>IF(AQ$27&gt;=LCC總表!$E$9,((LCC總表!$S$27*(LCC總表!$S$29/100))*(LCC總表!$S$30*(1+G$12))),0)</f>
        <v>0</v>
      </c>
      <c r="AR35" s="55">
        <f>IF(AR$27&gt;=LCC總表!$E$9,((LCC總表!$S$27*(LCC總表!$S$29/100))*(LCC總表!$S$30*(1+H$12))),0)</f>
        <v>0</v>
      </c>
      <c r="AS35" s="55">
        <f>IF(AS$27&gt;=LCC總表!$E$9,((LCC總表!$S$27*(LCC總表!$S$29/100))*(LCC總表!$S$30*(1+I$12))),0)</f>
        <v>0</v>
      </c>
      <c r="AT35" s="55">
        <f>IF(AT$27&gt;=LCC總表!$E$9,((LCC總表!$S$27*(LCC總表!$S$29/100))*(LCC總表!$S$30*(1+J$12))),0)</f>
        <v>0</v>
      </c>
      <c r="AU35" s="55">
        <f>IF(AU$27&gt;=LCC總表!$E$9,((LCC總表!$S$27*(LCC總表!$S$29/100))*(LCC總表!$S$30*(1+K$12))),0)</f>
        <v>0</v>
      </c>
      <c r="AV35" s="55">
        <f>IF(AV$27&gt;=LCC總表!$E$9,((LCC總表!$S$27*(LCC總表!$S$29/100))*(LCC總表!$S$30*(1+L$12))),0)</f>
        <v>0</v>
      </c>
      <c r="AW35" s="55">
        <f>IF(AW$27&gt;=LCC總表!$E$9,((LCC總表!$S$27*(LCC總表!$S$29/100))*(LCC總表!$S$30*(1+M$12))),0)</f>
        <v>0</v>
      </c>
      <c r="AX35" s="55">
        <f>IF(AX$27&gt;=LCC總表!$E$9,((LCC總表!$S$27*(LCC總表!$S$29/100))*(LCC總表!$S$30*(1+N$12))),0)</f>
        <v>0</v>
      </c>
      <c r="AY35" s="55">
        <f>IF(AY$27&gt;=LCC總表!$E$9,((LCC總表!$S$27*(LCC總表!$S$29/100))*(LCC總表!$S$30*(1+O$12))),0)</f>
        <v>0</v>
      </c>
      <c r="AZ35" s="55">
        <f>IF(AZ$27&gt;=LCC總表!$E$9,((LCC總表!$S$27*(LCC總表!$S$29/100))*(LCC總表!$S$30*(1+P$12))),0)</f>
        <v>0</v>
      </c>
      <c r="BA35" s="55">
        <f>IF(BA$27&gt;=LCC總表!$E$9,((LCC總表!$S$27*(LCC總表!$S$29/100))*(LCC總表!$S$30*(1+Q$12))),0)</f>
        <v>0</v>
      </c>
      <c r="BB35" s="55">
        <f>IF(BB$27&gt;=LCC總表!$E$9,((LCC總表!$S$27*(LCC總表!$S$29/100))*(LCC總表!$S$30*(1+R$12))),0)</f>
        <v>0</v>
      </c>
      <c r="BC35" s="55">
        <f>IF(BC$27&gt;=LCC總表!$E$9,((LCC總表!$S$27*(LCC總表!$S$29/100))*(LCC總表!$S$30*(1+S$12))),0)</f>
        <v>0</v>
      </c>
      <c r="BD35" s="55">
        <f>IF(BD$27&gt;=LCC總表!$E$9,((LCC總表!$S$27*(LCC總表!$S$29/100))*(LCC總表!$S$30*(1+T$12))),0)</f>
        <v>0</v>
      </c>
      <c r="BE35" s="55">
        <f>IF(BE$27&gt;=LCC總表!$E$9,((LCC總表!$S$27*(LCC總表!$S$29/100))*(LCC總表!$S$30*(1+U$12))),0)</f>
        <v>0</v>
      </c>
      <c r="BF35" s="55">
        <f>IF(BF$27&gt;=LCC總表!$E$9,((LCC總表!$S$27*(LCC總表!$S$29/100))*(LCC總表!$S$30*(1+V$12))),0)</f>
        <v>0</v>
      </c>
      <c r="BG35" s="55">
        <f>IF(BG$27&gt;=LCC總表!$E$9,((LCC總表!$S$27*(LCC總表!$S$29/100))*(LCC總表!$S$30*(1+W$12))),0)</f>
        <v>0</v>
      </c>
      <c r="BH35" s="55">
        <f>IF(BH$27&gt;=LCC總表!$E$9,((LCC總表!$S$27*(LCC總表!$S$29/100))*(LCC總表!$S$30*(1+X$12))),0)</f>
        <v>0</v>
      </c>
      <c r="BI35" s="55">
        <f>IF(BI$27&gt;=LCC總表!$E$9,((LCC總表!$S$27*(LCC總表!$S$29/100))*(LCC總表!$S$30*(1+Y$12))),0)</f>
        <v>0</v>
      </c>
      <c r="BJ35" s="55">
        <f>IF(BJ$27&gt;=LCC總表!$E$9,((LCC總表!$S$27*(LCC總表!$S$29/100))*(LCC總表!$S$30*(1+Z$12))),0)</f>
        <v>0</v>
      </c>
      <c r="BK35" s="55">
        <f>SUM(AN35:INDEX(AN35:BJ35,LCC總表!$E$6+LCC總表!$E$9-2018))</f>
        <v>0</v>
      </c>
    </row>
    <row r="36" spans="1:63" ht="17.25" thickBot="1">
      <c r="A36" s="48" t="s">
        <v>81</v>
      </c>
      <c r="B36" s="48"/>
      <c r="AM36" s="52" t="s">
        <v>105</v>
      </c>
      <c r="AN36" s="55">
        <f>IF(AN27&gt;=LCC總表!$E$9,((LCC總表!$U$27*(LCC總表!$U$29/100))*LCC總表!$U$30),0)</f>
        <v>0</v>
      </c>
      <c r="AO36" s="55">
        <f>IF(AO$27&gt;=LCC總表!$E$9,((LCC總表!$U$27*(LCC總表!$U$29/100))*(LCC總表!$U$30*(1+E$12))),0)</f>
        <v>0</v>
      </c>
      <c r="AP36" s="55">
        <f>IF(AP$27&gt;=LCC總表!$E$9,((LCC總表!$U$27*(LCC總表!$U$29/100))*(LCC總表!$U$30*(1+F$12))),0)</f>
        <v>0</v>
      </c>
      <c r="AQ36" s="55">
        <f>IF(AQ$27&gt;=LCC總表!$E$9,((LCC總表!$U$27*(LCC總表!$U$29/100))*(LCC總表!$U$30*(1+G$12))),0)</f>
        <v>0</v>
      </c>
      <c r="AR36" s="55">
        <f>IF(AR$27&gt;=LCC總表!$E$9,((LCC總表!$U$27*(LCC總表!$U$29/100))*(LCC總表!$U$30*(1+H$12))),0)</f>
        <v>0</v>
      </c>
      <c r="AS36" s="55">
        <f>IF(AS$27&gt;=LCC總表!$E$9,((LCC總表!$U$27*(LCC總表!$U$29/100))*(LCC總表!$U$30*(1+I$12))),0)</f>
        <v>0</v>
      </c>
      <c r="AT36" s="55">
        <f>IF(AT$27&gt;=LCC總表!$E$9,((LCC總表!$U$27*(LCC總表!$U$29/100))*(LCC總表!$U$30*(1+J$12))),0)</f>
        <v>0</v>
      </c>
      <c r="AU36" s="55">
        <f>IF(AU$27&gt;=LCC總表!$E$9,((LCC總表!$U$27*(LCC總表!$U$29/100))*(LCC總表!$U$30*(1+K$12))),0)</f>
        <v>0</v>
      </c>
      <c r="AV36" s="55">
        <f>IF(AV$27&gt;=LCC總表!$E$9,((LCC總表!$U$27*(LCC總表!$U$29/100))*(LCC總表!$U$30*(1+L$12))),0)</f>
        <v>0</v>
      </c>
      <c r="AW36" s="55">
        <f>IF(AW$27&gt;=LCC總表!$E$9,((LCC總表!$U$27*(LCC總表!$U$29/100))*(LCC總表!$U$30*(1+M$12))),0)</f>
        <v>0</v>
      </c>
      <c r="AX36" s="55">
        <f>IF(AX$27&gt;=LCC總表!$E$9,((LCC總表!$U$27*(LCC總表!$U$29/100))*(LCC總表!$U$30*(1+N$12))),0)</f>
        <v>0</v>
      </c>
      <c r="AY36" s="55">
        <f>IF(AY$27&gt;=LCC總表!$E$9,((LCC總表!$U$27*(LCC總表!$U$29/100))*(LCC總表!$U$30*(1+O$12))),0)</f>
        <v>0</v>
      </c>
      <c r="AZ36" s="55">
        <f>IF(AZ$27&gt;=LCC總表!$E$9,((LCC總表!$U$27*(LCC總表!$U$29/100))*(LCC總表!$U$30*(1+P$12))),0)</f>
        <v>0</v>
      </c>
      <c r="BA36" s="55">
        <f>IF(BA$27&gt;=LCC總表!$E$9,((LCC總表!$U$27*(LCC總表!$U$29/100))*(LCC總表!$U$30*(1+Q$12))),0)</f>
        <v>0</v>
      </c>
      <c r="BB36" s="55">
        <f>IF(BB$27&gt;=LCC總表!$E$9,((LCC總表!$U$27*(LCC總表!$U$29/100))*(LCC總表!$U$30*(1+R$12))),0)</f>
        <v>0</v>
      </c>
      <c r="BC36" s="55">
        <f>IF(BC$27&gt;=LCC總表!$E$9,((LCC總表!$U$27*(LCC總表!$U$29/100))*(LCC總表!$U$30*(1+S$12))),0)</f>
        <v>0</v>
      </c>
      <c r="BD36" s="55">
        <f>IF(BD$27&gt;=LCC總表!$E$9,((LCC總表!$U$27*(LCC總表!$U$29/100))*(LCC總表!$U$30*(1+T$12))),0)</f>
        <v>0</v>
      </c>
      <c r="BE36" s="55">
        <f>IF(BE$27&gt;=LCC總表!$E$9,((LCC總表!$U$27*(LCC總表!$U$29/100))*(LCC總表!$U$30*(1+U$12))),0)</f>
        <v>0</v>
      </c>
      <c r="BF36" s="55">
        <f>IF(BF$27&gt;=LCC總表!$E$9,((LCC總表!$U$27*(LCC總表!$U$29/100))*(LCC總表!$U$30*(1+V$12))),0)</f>
        <v>0</v>
      </c>
      <c r="BG36" s="55">
        <f>IF(BG$27&gt;=LCC總表!$E$9,((LCC總表!$U$27*(LCC總表!$U$29/100))*(LCC總表!$U$30*(1+W$12))),0)</f>
        <v>0</v>
      </c>
      <c r="BH36" s="55">
        <f>IF(BH$27&gt;=LCC總表!$E$9,((LCC總表!$U$27*(LCC總表!$U$29/100))*(LCC總表!$U$30*(1+X$12))),0)</f>
        <v>0</v>
      </c>
      <c r="BI36" s="55">
        <f>IF(BI$27&gt;=LCC總表!$E$9,((LCC總表!$U$27*(LCC總表!$U$29/100))*(LCC總表!$U$30*(1+Y$12))),0)</f>
        <v>0</v>
      </c>
      <c r="BJ36" s="55">
        <f>IF(BJ$27&gt;=LCC總表!$E$9,((LCC總表!$U$27*(LCC總表!$U$29/100))*(LCC總表!$U$30*(1+Z$12))),0)</f>
        <v>0</v>
      </c>
      <c r="BK36" s="55">
        <f>SUM(AN36:INDEX(AN36:BJ36,LCC總表!$E$6+LCC總表!$E$9-2018))</f>
        <v>0</v>
      </c>
    </row>
    <row r="37" spans="1:63" ht="17.25" thickBot="1">
      <c r="A37" s="48" t="s">
        <v>82</v>
      </c>
      <c r="B37" s="48"/>
      <c r="AM37" s="52" t="s">
        <v>106</v>
      </c>
      <c r="AN37" s="55">
        <f>IF(AN27&gt;=LCC總表!$E$9,((LCC總表!$W$27*(LCC總表!$W$29/100))*LCC總表!$W$30),0)</f>
        <v>0</v>
      </c>
      <c r="AO37" s="55">
        <f>IF(AO$27&gt;=LCC總表!$E$9,((LCC總表!$W$27*(LCC總表!$W$29/100))*(LCC總表!$W$30*(1+E$12))),0)</f>
        <v>0</v>
      </c>
      <c r="AP37" s="55">
        <f>IF(AP$27&gt;=LCC總表!$E$9,((LCC總表!$W$27*(LCC總表!$W$29/100))*(LCC總表!$W$30*(1+F$12))),0)</f>
        <v>0</v>
      </c>
      <c r="AQ37" s="55">
        <f>IF(AQ$27&gt;=LCC總表!$E$9,((LCC總表!$W$27*(LCC總表!$W$29/100))*(LCC總表!$W$30*(1+G$12))),0)</f>
        <v>0</v>
      </c>
      <c r="AR37" s="55">
        <f>IF(AR$27&gt;=LCC總表!$E$9,((LCC總表!$W$27*(LCC總表!$W$29/100))*(LCC總表!$W$30*(1+H$12))),0)</f>
        <v>0</v>
      </c>
      <c r="AS37" s="55">
        <f>IF(AS$27&gt;=LCC總表!$E$9,((LCC總表!$W$27*(LCC總表!$W$29/100))*(LCC總表!$W$30*(1+I$12))),0)</f>
        <v>0</v>
      </c>
      <c r="AT37" s="55">
        <f>IF(AT$27&gt;=LCC總表!$E$9,((LCC總表!$W$27*(LCC總表!$W$29/100))*(LCC總表!$W$30*(1+J$12))),0)</f>
        <v>0</v>
      </c>
      <c r="AU37" s="55">
        <f>IF(AU$27&gt;=LCC總表!$E$9,((LCC總表!$W$27*(LCC總表!$W$29/100))*(LCC總表!$W$30*(1+K$12))),0)</f>
        <v>0</v>
      </c>
      <c r="AV37" s="55">
        <f>IF(AV$27&gt;=LCC總表!$E$9,((LCC總表!$W$27*(LCC總表!$W$29/100))*(LCC總表!$W$30*(1+L$12))),0)</f>
        <v>0</v>
      </c>
      <c r="AW37" s="55">
        <f>IF(AW$27&gt;=LCC總表!$E$9,((LCC總表!$W$27*(LCC總表!$W$29/100))*(LCC總表!$W$30*(1+M$12))),0)</f>
        <v>0</v>
      </c>
      <c r="AX37" s="55">
        <f>IF(AX$27&gt;=LCC總表!$E$9,((LCC總表!$W$27*(LCC總表!$W$29/100))*(LCC總表!$W$30*(1+N$12))),0)</f>
        <v>0</v>
      </c>
      <c r="AY37" s="55">
        <f>IF(AY$27&gt;=LCC總表!$E$9,((LCC總表!$W$27*(LCC總表!$W$29/100))*(LCC總表!$W$30*(1+O$12))),0)</f>
        <v>0</v>
      </c>
      <c r="AZ37" s="55">
        <f>IF(AZ$27&gt;=LCC總表!$E$9,((LCC總表!$W$27*(LCC總表!$W$29/100))*(LCC總表!$W$30*(1+P$12))),0)</f>
        <v>0</v>
      </c>
      <c r="BA37" s="55">
        <f>IF(BA$27&gt;=LCC總表!$E$9,((LCC總表!$W$27*(LCC總表!$W$29/100))*(LCC總表!$W$30*(1+Q$12))),0)</f>
        <v>0</v>
      </c>
      <c r="BB37" s="55">
        <f>IF(BB$27&gt;=LCC總表!$E$9,((LCC總表!$W$27*(LCC總表!$W$29/100))*(LCC總表!$W$30*(1+R$12))),0)</f>
        <v>0</v>
      </c>
      <c r="BC37" s="55">
        <f>IF(BC$27&gt;=LCC總表!$E$9,((LCC總表!$W$27*(LCC總表!$W$29/100))*(LCC總表!$W$30*(1+S$12))),0)</f>
        <v>0</v>
      </c>
      <c r="BD37" s="55">
        <f>IF(BD$27&gt;=LCC總表!$E$9,((LCC總表!$W$27*(LCC總表!$W$29/100))*(LCC總表!$W$30*(1+T$12))),0)</f>
        <v>0</v>
      </c>
      <c r="BE37" s="55">
        <f>IF(BE$27&gt;=LCC總表!$E$9,((LCC總表!$W$27*(LCC總表!$W$29/100))*(LCC總表!$W$30*(1+U$12))),0)</f>
        <v>0</v>
      </c>
      <c r="BF37" s="55">
        <f>IF(BF$27&gt;=LCC總表!$E$9,((LCC總表!$W$27*(LCC總表!$W$29/100))*(LCC總表!$W$30*(1+V$12))),0)</f>
        <v>0</v>
      </c>
      <c r="BG37" s="55">
        <f>IF(BG$27&gt;=LCC總表!$E$9,((LCC總表!$W$27*(LCC總表!$W$29/100))*(LCC總表!$W$30*(1+W$12))),0)</f>
        <v>0</v>
      </c>
      <c r="BH37" s="55">
        <f>IF(BH$27&gt;=LCC總表!$E$9,((LCC總表!$W$27*(LCC總表!$W$29/100))*(LCC總表!$W$30*(1+X$12))),0)</f>
        <v>0</v>
      </c>
      <c r="BI37" s="55">
        <f>IF(BI$27&gt;=LCC總表!$E$9,((LCC總表!$W$27*(LCC總表!$W$29/100))*(LCC總表!$W$30*(1+Y$12))),0)</f>
        <v>0</v>
      </c>
      <c r="BJ37" s="55">
        <f>IF(BJ$27&gt;=LCC總表!$E$9,((LCC總表!$W$27*(LCC總表!$W$29/100))*(LCC總表!$W$30*(1+Z$12))),0)</f>
        <v>0</v>
      </c>
      <c r="BK37" s="55">
        <f>SUM(AN37:INDEX(AN37:BJ37,LCC總表!$E$6+LCC總表!$E$9-2018))</f>
        <v>0</v>
      </c>
    </row>
    <row r="38" spans="1:63" ht="17.25" thickBot="1">
      <c r="A38" s="48" t="s">
        <v>83</v>
      </c>
      <c r="B38" s="48"/>
    </row>
    <row r="39" spans="1:63">
      <c r="AM39" s="53" t="s">
        <v>85</v>
      </c>
      <c r="AN39" s="51">
        <v>2018</v>
      </c>
      <c r="AO39" s="51">
        <v>2019</v>
      </c>
      <c r="AP39" s="51">
        <v>2020</v>
      </c>
      <c r="AQ39" s="51">
        <v>2021</v>
      </c>
      <c r="AR39" s="51">
        <v>2022</v>
      </c>
      <c r="AS39" s="51">
        <v>2023</v>
      </c>
      <c r="AT39" s="51">
        <v>2024</v>
      </c>
      <c r="AU39" s="51">
        <v>2025</v>
      </c>
      <c r="AV39" s="51">
        <v>2026</v>
      </c>
      <c r="AW39" s="51">
        <v>2027</v>
      </c>
      <c r="AX39" s="51">
        <v>2028</v>
      </c>
      <c r="AY39" s="51">
        <v>2029</v>
      </c>
      <c r="AZ39" s="51">
        <v>2030</v>
      </c>
      <c r="BA39" s="51">
        <v>2031</v>
      </c>
      <c r="BB39" s="51">
        <v>2032</v>
      </c>
      <c r="BC39" s="51">
        <v>2033</v>
      </c>
      <c r="BD39" s="51">
        <v>2034</v>
      </c>
      <c r="BE39" s="51">
        <v>2035</v>
      </c>
      <c r="BF39" s="51">
        <v>2036</v>
      </c>
      <c r="BG39" s="51">
        <v>2037</v>
      </c>
      <c r="BH39" s="51">
        <v>2038</v>
      </c>
      <c r="BI39" s="51">
        <v>2039</v>
      </c>
      <c r="BJ39" s="51">
        <v>2040</v>
      </c>
      <c r="BK39" s="66" t="s">
        <v>116</v>
      </c>
    </row>
    <row r="40" spans="1:63">
      <c r="A40" s="166" t="s">
        <v>188</v>
      </c>
      <c r="E40" s="72"/>
      <c r="F40" s="72"/>
      <c r="G40" s="72"/>
      <c r="H40" s="72"/>
      <c r="I40" s="72"/>
      <c r="AM40" s="52" t="s">
        <v>97</v>
      </c>
      <c r="AN40" s="55">
        <f>IF($AN$39&gt;=LCC總表!$E$9,LCC總表!$E$31,0)</f>
        <v>0</v>
      </c>
      <c r="AO40" s="55">
        <f>IF(OR(ISBLANK(LCC總表!$E$32),LCC總表!$E$9=AO$39),0,IF(MOD((AO$39-LCC總表!$E$9),LCC總表!$E$32)=0,LCC總表!$E$19*(1+F14),0))</f>
        <v>0</v>
      </c>
      <c r="AP40" s="55">
        <f>IF(OR(ISBLANK(LCC總表!$E$32),LCC總表!$E$9=AP$39),0,IF(MOD((AP$39-LCC總表!$E$9),LCC總表!$E$32)=0,LCC總表!$E$19*(1+G14),0))</f>
        <v>0</v>
      </c>
      <c r="AQ40" s="55">
        <f>IF(OR(ISBLANK(LCC總表!$E$32),LCC總表!$E$9=AQ$39),0,IF(MOD((AQ$39-LCC總表!$E$9),LCC總表!$E$32)=0,LCC總表!$E$19*(1+H14),0))</f>
        <v>0</v>
      </c>
      <c r="AR40" s="55">
        <f>IF(OR(ISBLANK(LCC總表!$E$32),LCC總表!$E$9=AR$39),0,IF(MOD((AR$39-LCC總表!$E$9),LCC總表!$E$32)=0,LCC總表!$E$19*(1+I14),0))</f>
        <v>0</v>
      </c>
      <c r="AS40" s="55">
        <f>IF(OR(ISBLANK(LCC總表!$E$32),LCC總表!$E$9=AS$39),0,IF(MOD((AS$39-LCC總表!$E$9),LCC總表!$E$32)=0,LCC總表!$E$19*(1+J14),0))</f>
        <v>0</v>
      </c>
      <c r="AT40" s="55">
        <f>IF(OR(ISBLANK(LCC總表!$E$32),LCC總表!$E$9=AT$39),0,IF(MOD((AT$39-LCC總表!$E$9),LCC總表!$E$32)=0,LCC總表!$E$19*(1+K14),0))</f>
        <v>0</v>
      </c>
      <c r="AU40" s="55">
        <f>IF(OR(ISBLANK(LCC總表!$E$32),LCC總表!$E$9=AU$39),0,IF(MOD((AU$39-LCC總表!$E$9),LCC總表!$E$32)=0,LCC總表!$E$19*(1+L14),0))</f>
        <v>0</v>
      </c>
      <c r="AV40" s="55">
        <f>IF(OR(ISBLANK(LCC總表!$E$32),LCC總表!$E$9=AV$39),0,IF(MOD((AV$39-LCC總表!$E$9),LCC總表!$E$32)=0,LCC總表!$E$19*(1+M14),0))</f>
        <v>0</v>
      </c>
      <c r="AW40" s="55">
        <f>IF(OR(ISBLANK(LCC總表!$E$32),LCC總表!$E$9=AW$39),0,IF(MOD((AW$39-LCC總表!$E$9),LCC總表!$E$32)=0,LCC總表!$E$19*(1+N14),0))</f>
        <v>5454763.5600000005</v>
      </c>
      <c r="AX40" s="55">
        <f>IF(OR(ISBLANK(LCC總表!$E$32),LCC總表!$E$9=AX$39),0,IF(MOD((AX$39-LCC總表!$E$9),LCC總表!$E$32)=0,LCC總表!$E$19*(1+O14),0))</f>
        <v>0</v>
      </c>
      <c r="AY40" s="55">
        <f>IF(OR(ISBLANK(LCC總表!$E$32),LCC總表!$E$9=AY$39),0,IF(MOD((AY$39-LCC總表!$E$9),LCC總表!$E$32)=0,LCC總表!$E$19*(1+P14),0))</f>
        <v>0</v>
      </c>
      <c r="AZ40" s="55">
        <f>IF(OR(ISBLANK(LCC總表!$E$32),LCC總表!$E$9=AZ$39),0,IF(MOD((AZ$39-LCC總表!$E$9),LCC總表!$E$32)=0,LCC總表!$E$19*(1+Q14),0))</f>
        <v>0</v>
      </c>
      <c r="BA40" s="55">
        <f>IF(OR(ISBLANK(LCC總表!$E$32),LCC總表!$E$9=BA$39),0,IF(MOD((BA$39-LCC總表!$E$9),LCC總表!$E$32)=0,LCC總表!$E$19*(1+R14),0))</f>
        <v>0</v>
      </c>
      <c r="BB40" s="55">
        <f>IF(OR(ISBLANK(LCC總表!$E$32),LCC總表!$E$9=BB$39),0,IF(MOD((BB$39-LCC總表!$E$9),LCC總表!$E$32)=0,LCC總表!$E$19*(1+S14),0))</f>
        <v>0</v>
      </c>
      <c r="BC40" s="55">
        <f>IF(OR(ISBLANK(LCC總表!$E$32),LCC總表!$E$9=BC$39),0,IF(MOD((BC$39-LCC總表!$E$9),LCC總表!$E$32)=0,LCC總表!$E$19*(1+T14),0))</f>
        <v>0</v>
      </c>
      <c r="BD40" s="55">
        <f>IF(OR(ISBLANK(LCC總表!$E$32),LCC總表!$E$9=BD$39),0,IF(MOD((BD$39-LCC總表!$E$9),LCC總表!$E$32)=0,LCC總表!$E$19*(1+U14),0))</f>
        <v>0</v>
      </c>
      <c r="BE40" s="55">
        <f>IF(OR(ISBLANK(LCC總表!$E$32),LCC總表!$E$9=BE$39),0,IF(MOD((BE$39-LCC總表!$E$9),LCC總表!$E$32)=0,LCC總表!$E$19*(1+V14),0))</f>
        <v>5701696.6454237299</v>
      </c>
      <c r="BF40" s="55">
        <f>IF(OR(ISBLANK(LCC總表!$E$32),LCC總表!$E$9=BF$39),0,IF(MOD((BF$39-LCC總表!$E$9),LCC總表!$E$32)=0,LCC總表!$E$19*(1+W14),0))</f>
        <v>0</v>
      </c>
      <c r="BG40" s="55">
        <f>IF(OR(ISBLANK(LCC總表!$E$32),LCC總表!$E$9=BG$39),0,IF(MOD((BG$39-LCC總表!$E$9),LCC總表!$E$32)=0,LCC總表!$E$19*(1+X14),0))</f>
        <v>0</v>
      </c>
      <c r="BH40" s="55">
        <f>IF(OR(ISBLANK(LCC總表!$E$32),LCC總表!$E$9=BH$39),0,IF(MOD((BH$39-LCC總表!$E$9),LCC總表!$E$32)=0,LCC總表!$E$19*(1+Y14),0))</f>
        <v>0</v>
      </c>
      <c r="BI40" s="55">
        <f>IF(OR(ISBLANK(LCC總表!$E$32),LCC總表!$E$9=BI$39),0,IF(MOD((BI$39-LCC總表!$E$9),LCC總表!$E$32)=0,LCC總表!$E$19*(1+Z14),0))</f>
        <v>0</v>
      </c>
      <c r="BJ40" s="55">
        <f>IF(OR(ISBLANK(LCC總表!$E$32),LCC總表!$E$9=BJ$39),0,IF(MOD((BJ$39-LCC總表!$E$9),LCC總表!$E$32)=0,LCC總表!$E$19*(1+AA14),0))</f>
        <v>0</v>
      </c>
      <c r="BK40" s="55">
        <f>SUM(AN40:INDEX(AN40:BJ40,LCC總表!$E$6+LCC總表!$E$9-2018))</f>
        <v>0</v>
      </c>
    </row>
    <row r="41" spans="1:63">
      <c r="A41" s="165" t="s">
        <v>184</v>
      </c>
      <c r="B41" t="s">
        <v>185</v>
      </c>
      <c r="AM41" s="52" t="s">
        <v>98</v>
      </c>
      <c r="AN41" s="55">
        <f>IF($AN$39&gt;=LCC總表!$E$9,LCC總表!$G$31,0)</f>
        <v>0</v>
      </c>
      <c r="AO41" s="55">
        <f>IF(OR(ISBLANK(LCC總表!$G$32),LCC總表!$E$9=AO$39),0,IF(MOD((AO$39-LCC總表!$E$9),LCC總表!$G$32)=0,LCC總表!$G$19*(1+F14),0))</f>
        <v>0</v>
      </c>
      <c r="AP41" s="55">
        <f>IF(OR(ISBLANK(LCC總表!$G$32),LCC總表!$E$9=AP$39),0,IF(MOD((AP$39-LCC總表!$E$9),LCC總表!$G$32)=0,LCC總表!$G$19*(1+G14),0))</f>
        <v>0</v>
      </c>
      <c r="AQ41" s="55">
        <f>IF(OR(ISBLANK(LCC總表!$G$32),LCC總表!$E$9=能源價格!AQ39),0,IF(MOD((AQ$39-LCC總表!$E$9),LCC總表!$G$32)=0,LCC總表!$G$19*(1+H14),0))</f>
        <v>0</v>
      </c>
      <c r="AR41" s="55">
        <f>IF(OR(ISBLANK(LCC總表!$G$32),LCC總表!$E$9=能源價格!AR39),0,IF(MOD((AR$39-LCC總表!$E$9),LCC總表!$G$32)=0,LCC總表!$G$19*(1+I14),0))</f>
        <v>0</v>
      </c>
      <c r="AS41" s="55">
        <f>IF(OR(ISBLANK(LCC總表!$G$32),LCC總表!$E$9=能源價格!AS39),0,IF(MOD((AS$39-LCC總表!$E$9),LCC總表!$G$32)=0,LCC總表!$G$19*(1+J14),0))</f>
        <v>0</v>
      </c>
      <c r="AT41" s="55">
        <f>IF(OR(ISBLANK(LCC總表!$G$32),LCC總表!$E$9=能源價格!AT39),0,IF(MOD((AT$39-LCC總表!$E$9),LCC總表!$G$32)=0,LCC總表!$G$19*(1+K14),0))</f>
        <v>0</v>
      </c>
      <c r="AU41" s="55">
        <f>IF(OR(ISBLANK(LCC總表!$G$32),LCC總表!$E$9=能源價格!AU39),0,IF(MOD((AU$39-LCC總表!$E$9),LCC總表!$G$32)=0,LCC總表!$G$19*(1+L14),0))</f>
        <v>0</v>
      </c>
      <c r="AV41" s="55">
        <f>IF(OR(ISBLANK(LCC總表!$G$32),LCC總表!$E$9=能源價格!AV39),0,IF(MOD((AV$39-LCC總表!$E$9),LCC總表!$G$32)=0,LCC總表!$G$19*(1+M14),0))</f>
        <v>0</v>
      </c>
      <c r="AW41" s="55">
        <f>IF(OR(ISBLANK(LCC總表!$G$32),LCC總表!$E$9=能源價格!AW39),0,IF(MOD((AW$39-LCC總表!$E$9),LCC總表!$G$32)=0,LCC總表!$G$19*(1+N14),0))</f>
        <v>2708571.4285714286</v>
      </c>
      <c r="AX41" s="55">
        <f>IF(OR(ISBLANK(LCC總表!$G$32),LCC總表!$E$9=能源價格!AX39),0,IF(MOD((AX$39-LCC總表!$E$9),LCC總表!$G$32)=0,LCC總表!$G$19*(1+O14),0))</f>
        <v>0</v>
      </c>
      <c r="AY41" s="55">
        <f>IF(OR(ISBLANK(LCC總表!$G$32),LCC總表!$E$9=能源價格!AY39),0,IF(MOD((AY$39-LCC總表!$E$9),LCC總表!$G$32)=0,LCC總表!$G$19*(1+P14),0))</f>
        <v>0</v>
      </c>
      <c r="AZ41" s="55">
        <f>IF(OR(ISBLANK(LCC總表!$G$32),LCC總表!$E$9=能源價格!AZ39),0,IF(MOD((AZ$39-LCC總表!$E$9),LCC總表!$G$32)=0,LCC總表!$G$19*(1+Q14),0))</f>
        <v>0</v>
      </c>
      <c r="BA41" s="55">
        <f>IF(OR(ISBLANK(LCC總表!$G$32),LCC總表!$E$9=能源價格!BA39),0,IF(MOD((BA$39-LCC總表!$E$9),LCC總表!$G$32)=0,LCC總表!$G$19*(1+R14),0))</f>
        <v>0</v>
      </c>
      <c r="BB41" s="55">
        <f>IF(OR(ISBLANK(LCC總表!$G$32),LCC總表!$E$9=能源價格!BB39),0,IF(MOD((BB$39-LCC總表!$E$9),LCC總表!$G$32)=0,LCC總表!$G$19*(1+S14),0))</f>
        <v>0</v>
      </c>
      <c r="BC41" s="55">
        <f>IF(OR(ISBLANK(LCC總表!$G$32),LCC總表!$E$9=能源價格!BC39),0,IF(MOD((BC$39-LCC總表!$E$9),LCC總表!$G$32)=0,LCC總表!$G$19*(1+T14),0))</f>
        <v>0</v>
      </c>
      <c r="BD41" s="55">
        <f>IF(OR(ISBLANK(LCC總表!$G$32),LCC總表!$E$9=能源價格!BD39),0,IF(MOD((BD$39-LCC總表!$E$9),LCC總表!$G$32)=0,LCC總表!$G$19*(1+U14),0))</f>
        <v>0</v>
      </c>
      <c r="BE41" s="55">
        <f>IF(OR(ISBLANK(LCC總表!$G$32),LCC總表!$E$9=能源價格!BE39),0,IF(MOD((BE$39-LCC總表!$E$9),LCC總表!$G$32)=0,LCC總表!$G$19*(1+V14),0))</f>
        <v>2831186.4406779665</v>
      </c>
      <c r="BF41" s="55">
        <f>IF(OR(ISBLANK(LCC總表!$G$32),LCC總表!$E$9=能源價格!BF39),0,IF(MOD((BF$39-LCC總表!$E$9),LCC總表!$G$32)=0,LCC總表!$G$19*(1+W14),0))</f>
        <v>0</v>
      </c>
      <c r="BG41" s="55">
        <f>IF(OR(ISBLANK(LCC總表!$G$32),LCC總表!$E$9=能源價格!BG39),0,IF(MOD((BG$39-LCC總表!$E$9),LCC總表!$G$32)=0,LCC總表!$G$19*(1+X14),0))</f>
        <v>0</v>
      </c>
      <c r="BH41" s="55">
        <f>IF(OR(ISBLANK(LCC總表!$G$32),LCC總表!$E$9=能源價格!BH39),0,IF(MOD((BH$39-LCC總表!$E$9),LCC總表!$G$32)=0,LCC總表!$G$19*(1+Y14),0))</f>
        <v>0</v>
      </c>
      <c r="BI41" s="55">
        <f>IF(OR(ISBLANK(LCC總表!$G$32),LCC總表!$E$9=能源價格!BI39),0,IF(MOD((BI$39-LCC總表!$E$9),LCC總表!$G$32)=0,LCC總表!$G$19*(1+Z14),0))</f>
        <v>0</v>
      </c>
      <c r="BJ41" s="55">
        <f>IF(OR(ISBLANK(LCC總表!$I$32),LCC總表!$E$9=能源價格!BJ39),0,IF(MOD((BJ$39-LCC總表!$E$9),LCC總表!$I$32)=0,LCC總表!$I$19*(1+AA14),0))</f>
        <v>0</v>
      </c>
      <c r="BK41" s="55">
        <f>SUM(AN41:INDEX(AN41:BJ41,LCC總表!$E$6+LCC總表!$E$9-2018))</f>
        <v>0</v>
      </c>
    </row>
    <row r="42" spans="1:63">
      <c r="A42" s="165" t="s">
        <v>186</v>
      </c>
      <c r="B42" t="s">
        <v>187</v>
      </c>
      <c r="AM42" s="52" t="s">
        <v>99</v>
      </c>
      <c r="AN42" s="55">
        <f>IF($AN$39&gt;=LCC總表!$E$9,LCC總表!$I$31,0)</f>
        <v>0</v>
      </c>
      <c r="AO42" s="55">
        <f>IF(OR(ISBLANK(LCC總表!$I$32),LCC總表!$E$9=AO$39),0,IF(MOD((AO$39-LCC總表!$E$9),LCC總表!$I$32)=0,LCC總表!$I$19*(1+F14),0))</f>
        <v>0</v>
      </c>
      <c r="AP42" s="55">
        <f>IF(OR(ISBLANK(LCC總表!$I$32),LCC總表!$E$9=AP$39),0,IF(MOD((AP$39-LCC總表!$E$9),LCC總表!$I$32)=0,LCC總表!$I$19*(1+G14),0))</f>
        <v>0</v>
      </c>
      <c r="AQ42" s="55">
        <f>IF(OR(ISBLANK(LCC總表!$I$32),LCC總表!$E$9=能源價格!AQ40),0,IF(MOD((AQ$39-LCC總表!$E$9),LCC總表!$I$32)=0,LCC總表!$I$19*(1+H14),0))</f>
        <v>0</v>
      </c>
      <c r="AR42" s="55">
        <f>IF(OR(ISBLANK(LCC總表!$I$32),LCC總表!$E$9=能源價格!AR40),0,IF(MOD((AR$39-LCC總表!$E$9),LCC總表!$I$32)=0,LCC總表!$I$19*(1+I14),0))</f>
        <v>0</v>
      </c>
      <c r="AS42" s="55">
        <f>IF(OR(ISBLANK(LCC總表!$I$32),LCC總表!$E$9=能源價格!AS40),0,IF(MOD((AS$39-LCC總表!$E$9),LCC總表!$I$32)=0,LCC總表!$I$19*(1+J14),0))</f>
        <v>0</v>
      </c>
      <c r="AT42" s="55">
        <f>IF(OR(ISBLANK(LCC總表!$I$32),LCC總表!$E$9=能源價格!AT40),0,IF(MOD((AT$39-LCC總表!$E$9),LCC總表!$I$32)=0,LCC總表!$I$19*(1+K14),0))</f>
        <v>0</v>
      </c>
      <c r="AU42" s="55">
        <f>IF(OR(ISBLANK(LCC總表!$I$32),LCC總表!$E$9=能源價格!AU40),0,IF(MOD((AU$39-LCC總表!$E$9),LCC總表!$I$32)=0,LCC總表!$I$19*(1+L14),0))</f>
        <v>0</v>
      </c>
      <c r="AV42" s="55">
        <f>IF(OR(ISBLANK(LCC總表!$I$32),LCC總表!$E$9=能源價格!AV40),0,IF(MOD((AV$39-LCC總表!$E$9),LCC總表!$I$32)=0,LCC總表!$I$19*(1+M14),0))</f>
        <v>0</v>
      </c>
      <c r="AW42" s="55">
        <f>IF(OR(ISBLANK(LCC總表!$I$32),LCC總表!$E$9=能源價格!AW40),0,IF(MOD((AW$39-LCC總表!$E$9),LCC總表!$I$32)=0,LCC總表!$I$19*(1+N14),0))</f>
        <v>1128571.654285714</v>
      </c>
      <c r="AX42" s="55">
        <f>IF(OR(ISBLANK(LCC總表!$I$32),LCC總表!$E$9=能源價格!AX40),0,IF(MOD((AX$39-LCC總表!$E$9),LCC總表!$I$32)=0,LCC總表!$I$19*(1+O14),0))</f>
        <v>0</v>
      </c>
      <c r="AY42" s="55">
        <f>IF(OR(ISBLANK(LCC總表!$I$32),LCC總表!$E$9=能源價格!AY40),0,IF(MOD((AY$39-LCC總表!$E$9),LCC總表!$I$32)=0,LCC總表!$I$19*(1+P14),0))</f>
        <v>0</v>
      </c>
      <c r="AZ42" s="55">
        <f>IF(OR(ISBLANK(LCC總表!$I$32),LCC總表!$E$9=能源價格!AZ40),0,IF(MOD((AZ$39-LCC總表!$E$9),LCC總表!$I$32)=0,LCC總表!$I$19*(1+Q14),0))</f>
        <v>0</v>
      </c>
      <c r="BA42" s="55">
        <f>IF(OR(ISBLANK(LCC總表!$I$32),LCC總表!$E$9=能源價格!BA40),0,IF(MOD((BA$39-LCC總表!$E$9),LCC總表!$I$32)=0,LCC總表!$I$19*(1+R14),0))</f>
        <v>0</v>
      </c>
      <c r="BB42" s="55">
        <f>IF(OR(ISBLANK(LCC總表!$I$32),LCC總表!$E$9=能源價格!BB40),0,IF(MOD((BB$39-LCC總表!$E$9),LCC總表!$I$32)=0,LCC總表!$I$19*(1+S14),0))</f>
        <v>0</v>
      </c>
      <c r="BC42" s="55">
        <f>IF(OR(ISBLANK(LCC總表!$I$32),LCC總表!$E$9=能源價格!BC40),0,IF(MOD((BC$39-LCC總表!$E$9),LCC總表!$I$32)=0,LCC總表!$I$19*(1+T14),0))</f>
        <v>0</v>
      </c>
      <c r="BD42" s="55">
        <f>IF(OR(ISBLANK(LCC總表!$I$32),LCC總表!$E$9=能源價格!BD40),0,IF(MOD((BD$39-LCC總表!$E$9),LCC總表!$I$32)=0,LCC總表!$I$19*(1+U14),0))</f>
        <v>0</v>
      </c>
      <c r="BE42" s="55">
        <f>IF(OR(ISBLANK(LCC總表!$I$32),LCC總表!$E$9=能源價格!BE40),0,IF(MOD((BE$39-LCC總表!$E$9),LCC總表!$I$32)=0,LCC總表!$I$19*(1+V14),0))</f>
        <v>1179661.2528813558</v>
      </c>
      <c r="BF42" s="55">
        <f>IF(OR(ISBLANK(LCC總表!$I$32),LCC總表!$E$9=能源價格!BF40),0,IF(MOD((BF$39-LCC總表!$E$9),LCC總表!$I$32)=0,LCC總表!$I$19*(1+W14),0))</f>
        <v>0</v>
      </c>
      <c r="BG42" s="55">
        <f>IF(OR(ISBLANK(LCC總表!$I$32),LCC總表!$E$9=能源價格!BG40),0,IF(MOD((BG$39-LCC總表!$E$9),LCC總表!$I$32)=0,LCC總表!$I$19*(1+X14),0))</f>
        <v>0</v>
      </c>
      <c r="BH42" s="55">
        <f>IF(OR(ISBLANK(LCC總表!$I$32),LCC總表!$E$9=能源價格!BH40),0,IF(MOD((BH$39-LCC總表!$E$9),LCC總表!$I$32)=0,LCC總表!$I$19*(1+Y14),0))</f>
        <v>0</v>
      </c>
      <c r="BI42" s="55">
        <f>IF(OR(ISBLANK(LCC總表!$I$32),LCC總表!$E$9=能源價格!BI40),0,IF(MOD((BI$39-LCC總表!$E$9),LCC總表!$I$32)=0,LCC總表!$I$19*(1+Z14),0))</f>
        <v>0</v>
      </c>
      <c r="BJ42" s="55">
        <f>IF(OR(ISBLANK(LCC總表!$I$32),LCC總表!$E$9=能源價格!BJ40),0,IF(MOD((BJ$39-LCC總表!$E$9),LCC總表!$I$32)=0,LCC總表!$I$19*(1+AA14),0))</f>
        <v>0</v>
      </c>
      <c r="BK42" s="55">
        <f>SUM(AN42:INDEX(AN42:BJ42,LCC總表!$E$6+LCC總表!$E$9-2018))</f>
        <v>0</v>
      </c>
    </row>
    <row r="43" spans="1:63">
      <c r="AM43" s="52" t="s">
        <v>100</v>
      </c>
      <c r="AN43" s="55">
        <f>IF($AN$39&gt;=LCC總表!$E$9,LCC總表!$K$31,0)</f>
        <v>0</v>
      </c>
      <c r="AO43" s="55">
        <f>IF(OR(ISBLANK(LCC總表!$K$32),LCC總表!$E$9=AO$39),0,IF(MOD((AO$39-LCC總表!$E$9),LCC總表!$K$32)=0,LCC總表!$K$19*(1+F14),0))</f>
        <v>0</v>
      </c>
      <c r="AP43" s="55">
        <f>IF(OR(ISBLANK(LCC總表!$K$32),LCC總表!$E$9=AP$39),0,IF(MOD((AP$39-LCC總表!$E$9),LCC總表!$K$32)=0,LCC總表!$K$19*(1+G14),0))</f>
        <v>0</v>
      </c>
      <c r="AQ43" s="55">
        <f>IF(OR(ISBLANK(LCC總表!$K$32),LCC總表!$E$9=能源價格!AQ41),0,IF(MOD((AQ$39-LCC總表!$E$9),LCC總表!$K$32)=0,LCC總表!$K$19*(1+H14),0))</f>
        <v>0</v>
      </c>
      <c r="AR43" s="55">
        <f>IF(OR(ISBLANK(LCC總表!$K$32),LCC總表!$E$9=能源價格!AR41),0,IF(MOD((AR$39-LCC總表!$E$9),LCC總表!$K$32)=0,LCC總表!$K$19*(1+I14),0))</f>
        <v>0</v>
      </c>
      <c r="AS43" s="55">
        <f>IF(OR(ISBLANK(LCC總表!$K$32),LCC總表!$E$9=能源價格!AS41),0,IF(MOD((AS$39-LCC總表!$E$9),LCC總表!$K$32)=0,LCC總表!$K$19*(1+J14),0))</f>
        <v>0</v>
      </c>
      <c r="AT43" s="55">
        <f>IF(OR(ISBLANK(LCC總表!$K$32),LCC總表!$E$9=能源價格!AT41),0,IF(MOD((AT$39-LCC總表!$E$9),LCC總表!$K$32)=0,LCC總表!$K$19*(1+K14),0))</f>
        <v>0</v>
      </c>
      <c r="AU43" s="55">
        <f>IF(OR(ISBLANK(LCC總表!$K$32),LCC總表!$E$9=能源價格!AU41),0,IF(MOD((AU$39-LCC總表!$E$9),LCC總表!$K$32)=0,LCC總表!$K$19*(1+L14),0))</f>
        <v>0</v>
      </c>
      <c r="AV43" s="55">
        <f>IF(OR(ISBLANK(LCC總表!$K$32),LCC總表!$E$9=能源價格!AV41),0,IF(MOD((AV$39-LCC總表!$E$9),LCC總表!$K$32)=0,LCC總表!$K$19*(1+M14),0))</f>
        <v>0</v>
      </c>
      <c r="AW43" s="55">
        <f>IF(OR(ISBLANK(LCC總表!$K$32),LCC總表!$E$9=能源價格!AW41),0,IF(MOD((AW$39-LCC總表!$E$9),LCC總表!$K$32)=0,LCC總表!$K$19*(1+N14),0))</f>
        <v>2163095.6707142857</v>
      </c>
      <c r="AX43" s="55">
        <f>IF(OR(ISBLANK(LCC總表!$K$32),LCC總表!$E$9=能源價格!AX41),0,IF(MOD((AX$39-LCC總表!$E$9),LCC總表!$K$32)=0,LCC總表!$K$19*(1+O14),0))</f>
        <v>0</v>
      </c>
      <c r="AY43" s="55">
        <f>IF(OR(ISBLANK(LCC總表!$K$32),LCC總表!$E$9=能源價格!AY41),0,IF(MOD((AY$39-LCC總表!$E$9),LCC總表!$K$32)=0,LCC總表!$K$19*(1+P14),0))</f>
        <v>0</v>
      </c>
      <c r="AZ43" s="55">
        <f>IF(OR(ISBLANK(LCC總表!$K$32),LCC總表!$E$9=能源價格!AZ41),0,IF(MOD((AZ$39-LCC總表!$E$9),LCC總表!$K$32)=0,LCC總表!$K$19*(1+Q14),0))</f>
        <v>0</v>
      </c>
      <c r="BA43" s="55">
        <f>IF(OR(ISBLANK(LCC總表!$K$32),LCC總表!$E$9=能源價格!BA41),0,IF(MOD((BA$39-LCC總表!$E$9),LCC總表!$K$32)=0,LCC總表!$K$19*(1+R14),0))</f>
        <v>0</v>
      </c>
      <c r="BB43" s="55">
        <f>IF(OR(ISBLANK(LCC總表!$K$32),LCC總表!$E$9=能源價格!BB41),0,IF(MOD((BB$39-LCC總表!$E$9),LCC總表!$K$32)=0,LCC總表!$K$19*(1+S14),0))</f>
        <v>0</v>
      </c>
      <c r="BC43" s="55">
        <f>IF(OR(ISBLANK(LCC總表!$K$32),LCC總表!$E$9=能源價格!BC41),0,IF(MOD((BC$39-LCC總表!$E$9),LCC總表!$K$32)=0,LCC總表!$K$19*(1+T14),0))</f>
        <v>0</v>
      </c>
      <c r="BD43" s="55">
        <f>IF(OR(ISBLANK(LCC總表!$K$32),LCC總表!$E$9=能源價格!BD41),0,IF(MOD((BD$39-LCC總表!$E$9),LCC總表!$K$32)=0,LCC總表!$K$19*(1+U14),0))</f>
        <v>0</v>
      </c>
      <c r="BE43" s="55">
        <f>IF(OR(ISBLANK(LCC總表!$K$32),LCC總表!$E$9=能源價格!BE41),0,IF(MOD((BE$39-LCC總表!$E$9),LCC總表!$K$32)=0,LCC總表!$K$19*(1+V14),0))</f>
        <v>2261017.4013559325</v>
      </c>
      <c r="BF43" s="55">
        <f>IF(OR(ISBLANK(LCC總表!$K$32),LCC總表!$E$9=能源價格!BF41),0,IF(MOD((BF$39-LCC總表!$E$9),LCC總表!$K$32)=0,LCC總表!$K$19*(1+W14),0))</f>
        <v>0</v>
      </c>
      <c r="BG43" s="55">
        <f>IF(OR(ISBLANK(LCC總表!$K$32),LCC總表!$E$9=能源價格!BG41),0,IF(MOD((BG$39-LCC總表!$E$9),LCC總表!$K$32)=0,LCC總表!$K$19*(1+X14),0))</f>
        <v>0</v>
      </c>
      <c r="BH43" s="55">
        <f>IF(OR(ISBLANK(LCC總表!$K$32),LCC總表!$E$9=能源價格!BH41),0,IF(MOD((BH$39-LCC總表!$E$9),LCC總表!$K$32)=0,LCC總表!$K$19*(1+Y14),0))</f>
        <v>0</v>
      </c>
      <c r="BI43" s="55">
        <f>IF(OR(ISBLANK(LCC總表!$K$32),LCC總表!$E$9=能源價格!BI41),0,IF(MOD((BI$39-LCC總表!$E$9),LCC總表!$K$32)=0,LCC總表!$K$19*(1+Z14),0))</f>
        <v>0</v>
      </c>
      <c r="BJ43" s="55">
        <f>IF(OR(ISBLANK(LCC總表!$K$32),LCC總表!$E$9=能源價格!BJ41),0,IF(MOD((BJ$39-LCC總表!$E$9),LCC總表!$K$32)=0,LCC總表!$K$19*(1+AA14),0))</f>
        <v>0</v>
      </c>
      <c r="BK43" s="55">
        <f>SUM(AN43:INDEX(AN43:BJ43,LCC總表!$E$6+LCC總表!$E$9-2018))</f>
        <v>0</v>
      </c>
    </row>
    <row r="44" spans="1:63">
      <c r="AM44" s="52" t="s">
        <v>101</v>
      </c>
      <c r="AN44" s="55">
        <f>IF($AN$39&gt;=LCC總表!$E$9,LCC總表!$M$31,0)</f>
        <v>0</v>
      </c>
      <c r="AO44" s="55">
        <f>IF(OR(ISBLANK(LCC總表!$M$32),LCC總表!$E$9=AO$39),0,IF(MOD((AO$39-LCC總表!$E$9),LCC總表!$M$32)=0,LCC總表!$M$19*(1+F14),0))</f>
        <v>0</v>
      </c>
      <c r="AP44" s="55">
        <f>IF(OR(ISBLANK(LCC總表!$M$32),LCC總表!$E$9=AP$39),0,IF(MOD((AP$39-LCC總表!$E$9),LCC總表!$M$32)=0,LCC總表!$M$19*(1+G14),0))</f>
        <v>0</v>
      </c>
      <c r="AQ44" s="55">
        <f>IF(OR(ISBLANK(LCC總表!$M$32),LCC總表!$E$9=能源價格!AQ42),0,IF(MOD((AQ$39-LCC總表!$E$9),LCC總表!$M$32)=0,LCC總表!$M$19*(1+H14),0))</f>
        <v>0</v>
      </c>
      <c r="AR44" s="55">
        <f>IF(OR(ISBLANK(LCC總表!$M$32),LCC總表!$E$9=能源價格!AR42),0,IF(MOD((AR$39-LCC總表!$E$9),LCC總表!$M$32)=0,LCC總表!$M$19*(1+I14),0))</f>
        <v>0</v>
      </c>
      <c r="AS44" s="55">
        <f>IF(OR(ISBLANK(LCC總表!$M$32),LCC總表!$E$9=能源價格!AS42),0,IF(MOD((AS$39-LCC總表!$E$9),LCC總表!$M$32)=0,LCC總表!$M$19*(1+J14),0))</f>
        <v>0</v>
      </c>
      <c r="AT44" s="55">
        <f>IF(OR(ISBLANK(LCC總表!$M$32),LCC總表!$E$9=能源價格!AT42),0,IF(MOD((AT$39-LCC總表!$E$9),LCC總表!$M$32)=0,LCC總表!$M$19*(1+K14),0))</f>
        <v>0</v>
      </c>
      <c r="AU44" s="55">
        <f>IF(OR(ISBLANK(LCC總表!$M$32),LCC總表!$E$9=能源價格!AU42),0,IF(MOD((AU$39-LCC總表!$E$9),LCC總表!$M$32)=0,LCC總表!$M$19*(1+L14),0))</f>
        <v>0</v>
      </c>
      <c r="AV44" s="55">
        <f>IF(OR(ISBLANK(LCC總表!$M$32),LCC總表!$E$9=能源價格!AV42),0,IF(MOD((AV$39-LCC總表!$E$9),LCC總表!$M$32)=0,LCC總表!$M$19*(1+M14),0))</f>
        <v>0</v>
      </c>
      <c r="AW44" s="55">
        <f>IF(OR(ISBLANK(LCC總表!$M$32),LCC總表!$E$9=能源價格!AW42),0,IF(MOD((AW$39-LCC總表!$E$9),LCC總表!$M$32)=0,LCC總表!$M$19*(1+N14),0))</f>
        <v>0</v>
      </c>
      <c r="AX44" s="55">
        <f>IF(OR(ISBLANK(LCC總表!$M$32),LCC總表!$E$9=能源價格!AX42),0,IF(MOD((AX$39-LCC總表!$E$9),LCC總表!$M$32)=0,LCC總表!$M$19*(1+O14),0))</f>
        <v>0</v>
      </c>
      <c r="AY44" s="55">
        <f>IF(OR(ISBLANK(LCC總表!$M$32),LCC總表!$E$9=能源價格!AY42),0,IF(MOD((AY$39-LCC總表!$E$9),LCC總表!$M$32)=0,LCC總表!$M$19*(1+P14),0))</f>
        <v>0</v>
      </c>
      <c r="AZ44" s="55">
        <f>IF(OR(ISBLANK(LCC總表!$M$32),LCC總表!$E$9=能源價格!AZ42),0,IF(MOD((AZ$39-LCC總表!$E$9),LCC總表!$M$32)=0,LCC總表!$M$19*(1+Q14),0))</f>
        <v>0</v>
      </c>
      <c r="BA44" s="55">
        <f>IF(OR(ISBLANK(LCC總表!$M$32),LCC總表!$E$9=能源價格!BA42),0,IF(MOD((BA$39-LCC總表!$E$9),LCC總表!$M$32)=0,LCC總表!$M$19*(1+R14),0))</f>
        <v>0</v>
      </c>
      <c r="BB44" s="55">
        <f>IF(OR(ISBLANK(LCC總表!$M$32),LCC總表!$E$9=能源價格!BB42),0,IF(MOD((BB$39-LCC總表!$E$9),LCC總表!$M$32)=0,LCC總表!$M$19*(1+S14),0))</f>
        <v>0</v>
      </c>
      <c r="BC44" s="55">
        <f>IF(OR(ISBLANK(LCC總表!$M$32),LCC總表!$E$9=能源價格!BC42),0,IF(MOD((BC$39-LCC總表!$E$9),LCC總表!$M$32)=0,LCC總表!$M$19*(1+T14),0))</f>
        <v>0</v>
      </c>
      <c r="BD44" s="55">
        <f>IF(OR(ISBLANK(LCC總表!$M$32),LCC總表!$E$9=能源價格!BD42),0,IF(MOD((BD$39-LCC總表!$E$9),LCC總表!$M$32)=0,LCC總表!$M$19*(1+U14),0))</f>
        <v>0</v>
      </c>
      <c r="BE44" s="55">
        <f>IF(OR(ISBLANK(LCC總表!$M$32),LCC總表!$E$9=能源價格!BE42),0,IF(MOD((BE$39-LCC總表!$E$9),LCC總表!$M$32)=0,LCC總表!$M$19*(1+V14),0))</f>
        <v>0</v>
      </c>
      <c r="BF44" s="55">
        <f>IF(OR(ISBLANK(LCC總表!$M$32),LCC總表!$E$9=能源價格!BF42),0,IF(MOD((BF$39-LCC總表!$E$9),LCC總表!$M$32)=0,LCC總表!$M$19*(1+W14),0))</f>
        <v>0</v>
      </c>
      <c r="BG44" s="55">
        <f>IF(OR(ISBLANK(LCC總表!$M$32),LCC總表!$E$9=能源價格!BG42),0,IF(MOD((BG$39-LCC總表!$E$9),LCC總表!$M$32)=0,LCC總表!$M$19*(1+X14),0))</f>
        <v>0</v>
      </c>
      <c r="BH44" s="55">
        <f>IF(OR(ISBLANK(LCC總表!$M$32),LCC總表!$E$9=能源價格!BH42),0,IF(MOD((BH$39-LCC總表!$E$9),LCC總表!$M$32)=0,LCC總表!$M$19*(1+Y1),0))</f>
        <v>0</v>
      </c>
      <c r="BI44" s="55">
        <f>IF(OR(ISBLANK(LCC總表!$M$32),LCC總表!$E$9=能源價格!BI42),0,IF(MOD((BI$39-LCC總表!$E$9),LCC總表!$M$32)=0,LCC總表!$M$19*(1+Z14),0))</f>
        <v>0</v>
      </c>
      <c r="BJ44" s="55">
        <f>IF(OR(ISBLANK(LCC總表!$M$32),LCC總表!$E$9=能源價格!BJ42),0,IF(MOD((BJ$39-LCC總表!$E$9),LCC總表!$M$32)=0,LCC總表!$M$19*(1+AA14),0))</f>
        <v>0</v>
      </c>
      <c r="BK44" s="55">
        <f>SUM(AN44:INDEX(AN44:BJ44,LCC總表!$E$6+LCC總表!$E$9-2018))</f>
        <v>0</v>
      </c>
    </row>
    <row r="45" spans="1:63">
      <c r="AM45" s="52" t="s">
        <v>102</v>
      </c>
      <c r="AN45" s="55">
        <f>IF($AN$39&gt;=LCC總表!$E$9,LCC總表!$O$31,0)</f>
        <v>0</v>
      </c>
      <c r="AO45" s="55">
        <f>IF(OR(ISBLANK(LCC總表!$O$32),LCC總表!$E$9=AO$39),0,IF(MOD((AO$39-LCC總表!$E$9),LCC總表!$O$32)=0,LCC總表!$O$19*(1+F14),0))</f>
        <v>0</v>
      </c>
      <c r="AP45" s="55">
        <f>IF(OR(ISBLANK(LCC總表!$O$32),LCC總表!$E$9=AP$39),0,IF(MOD((AP$39-LCC總表!$E$9),LCC總表!$O$32)=0,LCC總表!$O$19*(1+G14),0))</f>
        <v>0</v>
      </c>
      <c r="AQ45" s="55">
        <f>IF(OR(ISBLANK(LCC總表!$O$32),LCC總表!$E$9=能源價格!AQ43),0,IF(MOD((AQ$39-LCC總表!$E$9),LCC總表!$O$32)=0,LCC總表!$O$19*(1+H14),0))</f>
        <v>0</v>
      </c>
      <c r="AR45" s="55">
        <f>IF(OR(ISBLANK(LCC總表!$O$32),LCC總表!$E$9=能源價格!AR43),0,IF(MOD((AR$39-LCC總表!$E$9),LCC總表!$O$32)=0,LCC總表!$O$19*(1+I14),0))</f>
        <v>0</v>
      </c>
      <c r="AS45" s="55">
        <f>IF(OR(ISBLANK(LCC總表!$O$32),LCC總表!$E$9=能源價格!AS43),0,IF(MOD((AS$39-LCC總表!$E$9),LCC總表!$O$32)=0,LCC總表!$O$19*(1+J14),0))</f>
        <v>0</v>
      </c>
      <c r="AT45" s="55">
        <f>IF(OR(ISBLANK(LCC總表!$O$32),LCC總表!$E$9=能源價格!AT43),0,IF(MOD((AT$39-LCC總表!$E$9),LCC總表!$O$32)=0,LCC總表!$O$19*(1+K14),0))</f>
        <v>0</v>
      </c>
      <c r="AU45" s="55">
        <f>IF(OR(ISBLANK(LCC總表!$O$32),LCC總表!$E$9=能源價格!AU43),0,IF(MOD((AU$39-LCC總表!$E$9),LCC總表!$O$32)=0,LCC總表!$O$19*(1+L14),0))</f>
        <v>0</v>
      </c>
      <c r="AV45" s="55">
        <f>IF(OR(ISBLANK(LCC總表!$O$32),LCC總表!$E$9=能源價格!AV43),0,IF(MOD((AV$39-LCC總表!$E$9),LCC總表!$O$32)=0,LCC總表!$O$19*(1+M14),0))</f>
        <v>0</v>
      </c>
      <c r="AW45" s="55">
        <f>IF(OR(ISBLANK(LCC總表!$O$32),LCC總表!$E$9=能源價格!AW43),0,IF(MOD((AW$39-LCC總表!$E$9),LCC總表!$O$32)=0,LCC總表!$O$19*(1+N14),0))</f>
        <v>0</v>
      </c>
      <c r="AX45" s="55">
        <f>IF(OR(ISBLANK(LCC總表!$O$32),LCC總表!$E$9=能源價格!AX43),0,IF(MOD((AX$39-LCC總表!$E$9),LCC總表!$O$32)=0,LCC總表!$O$19*(1+O14),0))</f>
        <v>0</v>
      </c>
      <c r="AY45" s="55">
        <f>IF(OR(ISBLANK(LCC總表!$O$32),LCC總表!$E$9=能源價格!AY43),0,IF(MOD((AY$39-LCC總表!$E$9),LCC總表!$O$32)=0,LCC總表!$O$19*(1+P14),0))</f>
        <v>0</v>
      </c>
      <c r="AZ45" s="55">
        <f>IF(OR(ISBLANK(LCC總表!$O$32),LCC總表!$E$9=能源價格!AZ43),0,IF(MOD((AZ$39-LCC總表!$E$9),LCC總表!$O$32)=0,LCC總表!$O$19*(1+Q14),0))</f>
        <v>0</v>
      </c>
      <c r="BA45" s="55">
        <f>IF(OR(ISBLANK(LCC總表!$O$32),LCC總表!$E$9=能源價格!BA43),0,IF(MOD((BA$39-LCC總表!$E$9),LCC總表!$O$32)=0,LCC總表!$O$19*(1+R14),0))</f>
        <v>0</v>
      </c>
      <c r="BB45" s="55">
        <f>IF(OR(ISBLANK(LCC總表!$O$32),LCC總表!$E$9=能源價格!BB43),0,IF(MOD((BB$39-LCC總表!$E$9),LCC總表!$O$32)=0,LCC總表!$O$19*(1+S14),0))</f>
        <v>0</v>
      </c>
      <c r="BC45" s="55">
        <f>IF(OR(ISBLANK(LCC總表!$O$32),LCC總表!$E$9=能源價格!BC43),0,IF(MOD((BC$39-LCC總表!$E$9),LCC總表!$O$32)=0,LCC總表!$O$19*(1+T14),0))</f>
        <v>0</v>
      </c>
      <c r="BD45" s="55">
        <f>IF(OR(ISBLANK(LCC總表!$O$32),LCC總表!$E$9=能源價格!BD43),0,IF(MOD((BD$39-LCC總表!$E$9),LCC總表!$O$32)=0,LCC總表!$O$19*(1+U14),0))</f>
        <v>0</v>
      </c>
      <c r="BE45" s="55">
        <f>IF(OR(ISBLANK(LCC總表!$O$32),LCC總表!$E$9=能源價格!BE43),0,IF(MOD((BE$39-LCC總表!$E$9),LCC總表!$O$32)=0,LCC總表!$O$19*(1+V14),0))</f>
        <v>0</v>
      </c>
      <c r="BF45" s="55">
        <f>IF(OR(ISBLANK(LCC總表!$O$32),LCC總表!$E$9=能源價格!BF43),0,IF(MOD((BF$39-LCC總表!$E$9),LCC總表!$O$32)=0,LCC總表!$O$19*(1+W14),0))</f>
        <v>0</v>
      </c>
      <c r="BG45" s="55">
        <f>IF(OR(ISBLANK(LCC總表!$O$32),LCC總表!$E$9=能源價格!BG43),0,IF(MOD((BG$39-LCC總表!$E$9),LCC總表!$O$32)=0,LCC總表!$O$19*(1+X14),0))</f>
        <v>0</v>
      </c>
      <c r="BH45" s="55">
        <f>IF(OR(ISBLANK(LCC總表!$O$32),LCC總表!$E$9=能源價格!BH43),0,IF(MOD((BH$39-LCC總表!$E$9),LCC總表!$O$32)=0,LCC總表!$O$19*(1+Y14),0))</f>
        <v>0</v>
      </c>
      <c r="BI45" s="55">
        <f>IF(OR(ISBLANK(LCC總表!$O$32),LCC總表!$E$9=能源價格!BI43),0,IF(MOD((BI$39-LCC總表!$E$9),LCC總表!$O$32)=0,LCC總表!$O$19*(1+Z14),0))</f>
        <v>0</v>
      </c>
      <c r="BJ45" s="55">
        <f>IF(OR(ISBLANK(LCC總表!$O$32),LCC總表!$E$9=能源價格!BJ43),0,IF(MOD((BJ$39-LCC總表!$E$9),LCC總表!$O$32)=0,LCC總表!$O$19*(1+AA14),0))</f>
        <v>0</v>
      </c>
      <c r="BK45" s="55">
        <f>SUM(AN45:INDEX(AN45:BJ45,LCC總表!$E$6+LCC總表!$E$9-2018))</f>
        <v>0</v>
      </c>
    </row>
    <row r="46" spans="1:63">
      <c r="AM46" s="52" t="s">
        <v>103</v>
      </c>
      <c r="AN46" s="55">
        <f>IF($AN$39&gt;=LCC總表!$E$9,LCC總表!$Q$31,0)</f>
        <v>0</v>
      </c>
      <c r="AO46" s="55">
        <f>IF(OR(ISBLANK(LCC總表!$Q$32),LCC總表!$E$9=AO$39),0,IF(MOD((AO$39-LCC總表!$E$9),LCC總表!$Q$32)=0,LCC總表!$Q$19*(1+F14),0))</f>
        <v>0</v>
      </c>
      <c r="AP46" s="55">
        <f>IF(OR(ISBLANK(LCC總表!$Q$32),LCC總表!$E$9=AP$39),0,IF(MOD((AP$39-LCC總表!$E$9),LCC總表!$Q$32)=0,LCC總表!$Q$19*(1+G14),0))</f>
        <v>0</v>
      </c>
      <c r="AQ46" s="55">
        <f>IF(OR(ISBLANK(LCC總表!$Q$32),LCC總表!$E$9=能源價格!AQ44),0,IF(MOD((AQ$39-LCC總表!$E$9),LCC總表!$Q$32)=0,LCC總表!$Q$19*(1+H14),0))</f>
        <v>0</v>
      </c>
      <c r="AR46" s="55">
        <f>IF(OR(ISBLANK(LCC總表!$Q$32),LCC總表!$E$9=能源價格!AR44),0,IF(MOD((AR$39-LCC總表!$E$9),LCC總表!$Q$32)=0,LCC總表!$Q$19*(1+I14),0))</f>
        <v>0</v>
      </c>
      <c r="AS46" s="55">
        <f>IF(OR(ISBLANK(LCC總表!$Q$32),LCC總表!$E$9=能源價格!AS44),0,IF(MOD((AS$39-LCC總表!$E$9),LCC總表!$Q$32)=0,LCC總表!$Q$19*(1+J14),0))</f>
        <v>0</v>
      </c>
      <c r="AT46" s="55">
        <f>IF(OR(ISBLANK(LCC總表!$Q$32),LCC總表!$E$9=能源價格!AT44),0,IF(MOD((AT$39-LCC總表!$E$9),LCC總表!$Q$32)=0,LCC總表!$Q$19*(1+K14),0))</f>
        <v>0</v>
      </c>
      <c r="AU46" s="55">
        <f>IF(OR(ISBLANK(LCC總表!$Q$32),LCC總表!$E$9=能源價格!AU44),0,IF(MOD((AU$39-LCC總表!$E$9),LCC總表!$Q$32)=0,LCC總表!$Q$19*(1+L14),0))</f>
        <v>0</v>
      </c>
      <c r="AV46" s="55">
        <f>IF(OR(ISBLANK(LCC總表!$Q$32),LCC總表!$E$9=能源價格!AV44),0,IF(MOD((AV$39-LCC總表!$E$9),LCC總表!$Q$32)=0,LCC總表!$Q$19*(1+M14),0))</f>
        <v>0</v>
      </c>
      <c r="AW46" s="55">
        <f>IF(OR(ISBLANK(LCC總表!$Q$32),LCC總表!$E$9=能源價格!AW44),0,IF(MOD((AW$39-LCC總表!$E$9),LCC總表!$Q$32)=0,LCC總表!$Q$19*(1+N14),0))</f>
        <v>0</v>
      </c>
      <c r="AX46" s="55">
        <f>IF(OR(ISBLANK(LCC總表!$Q$32),LCC總表!$E$9=能源價格!AX44),0,IF(MOD((AX$39-LCC總表!$E$9),LCC總表!$Q$32)=0,LCC總表!$Q$19*(1+O14),0))</f>
        <v>0</v>
      </c>
      <c r="AY46" s="55">
        <f>IF(OR(ISBLANK(LCC總表!$Q$32),LCC總表!$E$9=能源價格!AY44),0,IF(MOD((AY$39-LCC總表!$E$9),LCC總表!$Q$32)=0,LCC總表!$Q$19*(1+P14),0))</f>
        <v>0</v>
      </c>
      <c r="AZ46" s="55">
        <f>IF(OR(ISBLANK(LCC總表!$Q$32),LCC總表!$E$9=能源價格!AZ44),0,IF(MOD((AZ$39-LCC總表!$E$9),LCC總表!$Q$32)=0,LCC總表!$Q$19*(1+Q14),0))</f>
        <v>0</v>
      </c>
      <c r="BA46" s="55">
        <f>IF(OR(ISBLANK(LCC總表!$Q$32),LCC總表!$E$9=能源價格!BA44),0,IF(MOD((BA$39-LCC總表!$E$9),LCC總表!$Q$32)=0,LCC總表!$Q$19*(1+R14),0))</f>
        <v>0</v>
      </c>
      <c r="BB46" s="55">
        <f>IF(OR(ISBLANK(LCC總表!$Q$32),LCC總表!$E$9=能源價格!BB44),0,IF(MOD((BB$39-LCC總表!$E$9),LCC總表!$Q$32)=0,LCC總表!$Q$19*(1+S14),0))</f>
        <v>0</v>
      </c>
      <c r="BC46" s="55">
        <f>IF(OR(ISBLANK(LCC總表!$Q$32),LCC總表!$E$9=能源價格!BC44),0,IF(MOD((BC$39-LCC總表!$E$9),LCC總表!$Q$32)=0,LCC總表!$Q$19*(1+T14),0))</f>
        <v>0</v>
      </c>
      <c r="BD46" s="55">
        <f>IF(OR(ISBLANK(LCC總表!$Q$32),LCC總表!$E$9=能源價格!BD44),0,IF(MOD((BD$39-LCC總表!$E$9),LCC總表!$Q$32)=0,LCC總表!$Q$19*(1+U14),0))</f>
        <v>0</v>
      </c>
      <c r="BE46" s="55">
        <f>IF(OR(ISBLANK(LCC總表!$Q$32),LCC總表!$E$9=能源價格!BE44),0,IF(MOD((BE$39-LCC總表!$E$9),LCC總表!$Q$32)=0,LCC總表!$Q$19*(1+V14),0))</f>
        <v>0</v>
      </c>
      <c r="BF46" s="55">
        <f>IF(OR(ISBLANK(LCC總表!$Q$32),LCC總表!$E$9=能源價格!BF44),0,IF(MOD((BF$39-LCC總表!$E$9),LCC總表!$Q$32)=0,LCC總表!$Q$19*(1+W14),0))</f>
        <v>0</v>
      </c>
      <c r="BG46" s="55">
        <f>IF(OR(ISBLANK(LCC總表!$Q$32),LCC總表!$E$9=能源價格!BG44),0,IF(MOD((BG$39-LCC總表!$E$9),LCC總表!$Q$32)=0,LCC總表!$Q$19*(1+X14),0))</f>
        <v>0</v>
      </c>
      <c r="BH46" s="55">
        <f>IF(OR(ISBLANK(LCC總表!$Q$32),LCC總表!$E$9=能源價格!BH44),0,IF(MOD((BH$39-LCC總表!$E$9),LCC總表!$Q$32)=0,LCC總表!$Q$19*(1+Y14),0))</f>
        <v>0</v>
      </c>
      <c r="BI46" s="55">
        <f>IF(OR(ISBLANK(LCC總表!$Q$32),LCC總表!$E$9=能源價格!BI44),0,IF(MOD((BI$39-LCC總表!$E$9),LCC總表!$Q$32)=0,LCC總表!$Q$19*(1+Z14),0))</f>
        <v>0</v>
      </c>
      <c r="BJ46" s="55">
        <f>IF(OR(ISBLANK(LCC總表!$Q$32),LCC總表!$E$9=能源價格!BJ44),0,IF(MOD((BJ$39-LCC總表!$E$9),LCC總表!$Q$32)=0,LCC總表!$Q$19*(1+AA14),0))</f>
        <v>0</v>
      </c>
      <c r="BK46" s="55">
        <f>SUM(AN46:INDEX(AN46:BJ46,LCC總表!$E$6+LCC總表!$E$9-2018))</f>
        <v>0</v>
      </c>
    </row>
    <row r="47" spans="1:63">
      <c r="AM47" s="52" t="s">
        <v>104</v>
      </c>
      <c r="AN47" s="55">
        <f>IF($AN$39&gt;=LCC總表!$E$9,LCC總表!$S$31,0)</f>
        <v>0</v>
      </c>
      <c r="AO47" s="55">
        <f>IF(OR(ISBLANK(LCC總表!$S$32),LCC總表!$E$9=AO$39),0,IF(MOD((AO$39-LCC總表!$E$9),LCC總表!$S$32)=0,LCC總表!$S$19*(1+F14),0))</f>
        <v>0</v>
      </c>
      <c r="AP47" s="55">
        <f>IF(OR(ISBLANK(LCC總表!$S$32),LCC總表!$E$9=AP$39),0,IF(MOD((AP$39-LCC總表!$E$9),LCC總表!$S$32)=0,LCC總表!$S$19*(1+G14),0))</f>
        <v>0</v>
      </c>
      <c r="AQ47" s="55">
        <f>IF(OR(ISBLANK(LCC總表!$S$32),LCC總表!$E$9=能源價格!AQ45),0,IF(MOD((AQ$39-LCC總表!$E$9),LCC總表!$S$32)=0,LCC總表!$S$19*(1+H14),0))</f>
        <v>0</v>
      </c>
      <c r="AR47" s="55">
        <f>IF(OR(ISBLANK(LCC總表!$S$32),LCC總表!$E$9=能源價格!AR45),0,IF(MOD((AR$39-LCC總表!$E$9),LCC總表!$S$32)=0,LCC總表!$S$19*(1+I14),0))</f>
        <v>0</v>
      </c>
      <c r="AS47" s="55">
        <f>IF(OR(ISBLANK(LCC總表!$S$32),LCC總表!$E$9=能源價格!AS45),0,IF(MOD((AS$39-LCC總表!$E$9),LCC總表!$S$32)=0,LCC總表!$S$19*(1+J14),0))</f>
        <v>0</v>
      </c>
      <c r="AT47" s="55">
        <f>IF(OR(ISBLANK(LCC總表!$S$32),LCC總表!$E$9=能源價格!AT45),0,IF(MOD((AT$39-LCC總表!$E$9),LCC總表!$S$32)=0,LCC總表!$S$19*(1+K14),0))</f>
        <v>0</v>
      </c>
      <c r="AU47" s="55">
        <f>IF(OR(ISBLANK(LCC總表!$S$32),LCC總表!$E$9=能源價格!AU45),0,IF(MOD((AU$39-LCC總表!$E$9),LCC總表!$S$32)=0,LCC總表!$S$19*(1+L14),0))</f>
        <v>0</v>
      </c>
      <c r="AV47" s="55">
        <f>IF(OR(ISBLANK(LCC總表!$S$32),LCC總表!$E$9=能源價格!AV45),0,IF(MOD((AV$39-LCC總表!$E$9),LCC總表!$S$32)=0,LCC總表!$S$19*(1+M14),0))</f>
        <v>0</v>
      </c>
      <c r="AW47" s="55">
        <f>IF(OR(ISBLANK(LCC總表!$S$32),LCC總表!$E$9=能源價格!AW45),0,IF(MOD((AW$39-LCC總表!$E$9),LCC總表!$S$32)=0,LCC總表!$S$19*(1+N14),0))</f>
        <v>0</v>
      </c>
      <c r="AX47" s="55">
        <f>IF(OR(ISBLANK(LCC總表!$S$32),LCC總表!$E$9=能源價格!AX45),0,IF(MOD((AX$39-LCC總表!$E$9),LCC總表!$S$32)=0,LCC總表!$S$19*(1+O14),0))</f>
        <v>0</v>
      </c>
      <c r="AY47" s="55">
        <f>IF(OR(ISBLANK(LCC總表!$S$32),LCC總表!$E$9=能源價格!AY45),0,IF(MOD((AY$39-LCC總表!$E$9),LCC總表!$S$32)=0,LCC總表!$S$19*(1+P14),0))</f>
        <v>0</v>
      </c>
      <c r="AZ47" s="55">
        <f>IF(OR(ISBLANK(LCC總表!$S$32),LCC總表!$E$9=能源價格!AZ45),0,IF(MOD((AZ$39-LCC總表!$E$9),LCC總表!$S$32)=0,LCC總表!$S$19*(1+Q14),0))</f>
        <v>0</v>
      </c>
      <c r="BA47" s="55">
        <f>IF(OR(ISBLANK(LCC總表!$S$32),LCC總表!$E$9=能源價格!BA45),0,IF(MOD((BA$39-LCC總表!$E$9),LCC總表!$S$32)=0,LCC總表!$S$19*(1+R14),0))</f>
        <v>0</v>
      </c>
      <c r="BB47" s="55">
        <f>IF(OR(ISBLANK(LCC總表!$S$32),LCC總表!$E$9=能源價格!BB45),0,IF(MOD((BB$39-LCC總表!$E$9),LCC總表!$S$32)=0,LCC總表!$S$19*(1+S14),0))</f>
        <v>0</v>
      </c>
      <c r="BC47" s="55">
        <f>IF(OR(ISBLANK(LCC總表!$S$32),LCC總表!$E$9=能源價格!BC45),0,IF(MOD((BC$39-LCC總表!$E$9),LCC總表!$S$32)=0,LCC總表!$S$19*(1+T14),0))</f>
        <v>0</v>
      </c>
      <c r="BD47" s="55">
        <f>IF(OR(ISBLANK(LCC總表!$S$32),LCC總表!$E$9=能源價格!BD45),0,IF(MOD((BD$39-LCC總表!$E$9),LCC總表!$S$32)=0,LCC總表!$S$19*(1+U14),0))</f>
        <v>0</v>
      </c>
      <c r="BE47" s="55">
        <f>IF(OR(ISBLANK(LCC總表!$S$32),LCC總表!$E$9=能源價格!BE45),0,IF(MOD((BE$39-LCC總表!$E$9),LCC總表!$S$32)=0,LCC總表!$S$19*(1+V14),0))</f>
        <v>0</v>
      </c>
      <c r="BF47" s="55">
        <f>IF(OR(ISBLANK(LCC總表!$S$32),LCC總表!$E$9=能源價格!BF45),0,IF(MOD((BF$39-LCC總表!$E$9),LCC總表!$S$32)=0,LCC總表!$S$19*(1+W14),0))</f>
        <v>0</v>
      </c>
      <c r="BG47" s="55">
        <f>IF(OR(ISBLANK(LCC總表!$S$32),LCC總表!$E$9=能源價格!BG45),0,IF(MOD((BG$39-LCC總表!$E$9),LCC總表!$S$32)=0,LCC總表!$S$19*(1+X14),0))</f>
        <v>0</v>
      </c>
      <c r="BH47" s="55">
        <f>IF(OR(ISBLANK(LCC總表!$S$32),LCC總表!$E$9=能源價格!BH45),0,IF(MOD((BH$39-LCC總表!$E$9),LCC總表!$S$32)=0,LCC總表!$S$19*(1+Y14),0))</f>
        <v>0</v>
      </c>
      <c r="BI47" s="55">
        <f>IF(OR(ISBLANK(LCC總表!$S$32),LCC總表!$E$9=能源價格!BI45),0,IF(MOD((BI$39-LCC總表!$E$9),LCC總表!$S$32)=0,LCC總表!$S$19*(1+Z14),0))</f>
        <v>0</v>
      </c>
      <c r="BJ47" s="55">
        <f>IF(OR(ISBLANK(LCC總表!$S$32),LCC總表!$E$9=能源價格!BJ45),0,IF(MOD((BJ$39-LCC總表!$E$9),LCC總表!$S$32)=0,LCC總表!$S$19*(1+AA14),0))</f>
        <v>0</v>
      </c>
      <c r="BK47" s="55">
        <f>SUM(AN47:INDEX(AN47:BJ47,LCC總表!$E$6+LCC總表!$E$9-2018))</f>
        <v>0</v>
      </c>
    </row>
    <row r="48" spans="1:63">
      <c r="AM48" s="52" t="s">
        <v>105</v>
      </c>
      <c r="AN48" s="55">
        <f>IF($AN$39&gt;=LCC總表!$E$9,LCC總表!$U$31,0)</f>
        <v>0</v>
      </c>
      <c r="AO48" s="55">
        <f>IF(OR(ISBLANK(LCC總表!$U$32),LCC總表!$E$9=AO$39),0,IF(MOD((AO$39-LCC總表!$E$9),LCC總表!$U$32)=0,LCC總表!$U$19*(1+F14),0))</f>
        <v>0</v>
      </c>
      <c r="AP48" s="55">
        <f>IF(OR(ISBLANK(LCC總表!$U$32),LCC總表!$E$9=AP$39),0,IF(MOD((AP$39-LCC總表!$E$9),LCC總表!$U$32)=0,LCC總表!$U$19*(1+G14),0))</f>
        <v>0</v>
      </c>
      <c r="AQ48" s="55">
        <f>IF(OR(ISBLANK(LCC總表!$U$32),LCC總表!$E$9=能源價格!AQ46),0,IF(MOD((AQ$39-LCC總表!$E$9),LCC總表!$U$32)=0,LCC總表!$U$19*(1+H14),0))</f>
        <v>0</v>
      </c>
      <c r="AR48" s="55">
        <f>IF(OR(ISBLANK(LCC總表!$U$32),LCC總表!$E$9=能源價格!AR46),0,IF(MOD((AR$39-LCC總表!$E$9),LCC總表!$U$32)=0,LCC總表!$U$19*(1+I14),0))</f>
        <v>0</v>
      </c>
      <c r="AS48" s="55">
        <f>IF(OR(ISBLANK(LCC總表!$U$32),LCC總表!$E$9=能源價格!AS46),0,IF(MOD((AS$39-LCC總表!$E$9),LCC總表!$U$32)=0,LCC總表!$U$19*(1+J14),0))</f>
        <v>0</v>
      </c>
      <c r="AT48" s="55">
        <f>IF(OR(ISBLANK(LCC總表!$U$32),LCC總表!$E$9=能源價格!AT46),0,IF(MOD((AT$39-LCC總表!$E$9),LCC總表!$U$32)=0,LCC總表!$U$19*(1+K14),0))</f>
        <v>0</v>
      </c>
      <c r="AU48" s="55">
        <f>IF(OR(ISBLANK(LCC總表!$U$32),LCC總表!$E$9=能源價格!AU46),0,IF(MOD((AU$39-LCC總表!$E$9),LCC總表!$U$32)=0,LCC總表!$U$19*(1+L14),0))</f>
        <v>0</v>
      </c>
      <c r="AV48" s="55">
        <f>IF(OR(ISBLANK(LCC總表!$U$32),LCC總表!$E$9=能源價格!AV46),0,IF(MOD((AV$39-LCC總表!$E$9),LCC總表!$U$32)=0,LCC總表!$U$19*(1+M14),0))</f>
        <v>0</v>
      </c>
      <c r="AW48" s="55">
        <f>IF(OR(ISBLANK(LCC總表!$U$32),LCC總表!$E$9=能源價格!AW46),0,IF(MOD((AW$39-LCC總表!$E$9),LCC總表!$U$32)=0,LCC總表!$U$19*(1+N14),0))</f>
        <v>0</v>
      </c>
      <c r="AX48" s="55">
        <f>IF(OR(ISBLANK(LCC總表!$U$32),LCC總表!$E$9=能源價格!AX46),0,IF(MOD((AX$39-LCC總表!$E$9),LCC總表!$U$32)=0,LCC總表!$U$19*(1+O14),0))</f>
        <v>0</v>
      </c>
      <c r="AY48" s="55">
        <f>IF(OR(ISBLANK(LCC總表!$U$32),LCC總表!$E$9=能源價格!AY46),0,IF(MOD((AY$39-LCC總表!$E$9),LCC總表!$U$32)=0,LCC總表!$U$19*(1+P14),0))</f>
        <v>0</v>
      </c>
      <c r="AZ48" s="55">
        <f>IF(OR(ISBLANK(LCC總表!$U$32),LCC總表!$E$9=能源價格!AZ46),0,IF(MOD((AZ$39-LCC總表!$E$9),LCC總表!$U$32)=0,LCC總表!$U$19*(1+Q14),0))</f>
        <v>0</v>
      </c>
      <c r="BA48" s="55">
        <f>IF(OR(ISBLANK(LCC總表!$U$32),LCC總表!$E$9=能源價格!BA46),0,IF(MOD((BA$39-LCC總表!$E$9),LCC總表!$U$32)=0,LCC總表!$U$19*(1+R14),0))</f>
        <v>0</v>
      </c>
      <c r="BB48" s="55">
        <f>IF(OR(ISBLANK(LCC總表!$U$32),LCC總表!$E$9=能源價格!BB46),0,IF(MOD((BB$39-LCC總表!$E$9),LCC總表!$U$32)=0,LCC總表!$U$19*(1+S14),0))</f>
        <v>0</v>
      </c>
      <c r="BC48" s="55">
        <f>IF(OR(ISBLANK(LCC總表!$U$32),LCC總表!$E$9=能源價格!BC46),0,IF(MOD((BC$39-LCC總表!$E$9),LCC總表!$U$32)=0,LCC總表!$U$19*(1+T14),0))</f>
        <v>0</v>
      </c>
      <c r="BD48" s="55">
        <f>IF(OR(ISBLANK(LCC總表!$U$32),LCC總表!$E$9=能源價格!BD46),0,IF(MOD((BD$39-LCC總表!$E$9),LCC總表!$U$32)=0,LCC總表!$U$19*(1+U14),0))</f>
        <v>0</v>
      </c>
      <c r="BE48" s="55">
        <f>IF(OR(ISBLANK(LCC總表!$U$32),LCC總表!$E$9=能源價格!BE46),0,IF(MOD((BE$39-LCC總表!$E$9),LCC總表!$U$32)=0,LCC總表!$U$19*(1+V14),0))</f>
        <v>0</v>
      </c>
      <c r="BF48" s="55">
        <f>IF(OR(ISBLANK(LCC總表!$U$32),LCC總表!$E$9=能源價格!BF46),0,IF(MOD((BF$39-LCC總表!$E$9),LCC總表!$U$32)=0,LCC總表!$U$19*(1+W14),0))</f>
        <v>0</v>
      </c>
      <c r="BG48" s="55">
        <f>IF(OR(ISBLANK(LCC總表!$U$32),LCC總表!$E$9=能源價格!BG46),0,IF(MOD((BG$39-LCC總表!$E$9),LCC總表!$U$32)=0,LCC總表!$U$19*(1+X14),0))</f>
        <v>0</v>
      </c>
      <c r="BH48" s="55">
        <f>IF(OR(ISBLANK(LCC總表!$U$32),LCC總表!$E$9=能源價格!BH46),0,IF(MOD((BH$39-LCC總表!$E$9),LCC總表!$U$32)=0,LCC總表!$U$19*(1+Y14),0))</f>
        <v>0</v>
      </c>
      <c r="BI48" s="55">
        <f>IF(OR(ISBLANK(LCC總表!$U$32),LCC總表!$E$9=能源價格!BI46),0,IF(MOD((BI$39-LCC總表!$E$9),LCC總表!$U$32)=0,LCC總表!$U$19*(1+Z14),0))</f>
        <v>0</v>
      </c>
      <c r="BJ48" s="55">
        <f>IF(OR(ISBLANK(LCC總表!$U$32),LCC總表!$E$9=能源價格!BJ46),0,IF(MOD((BJ$39-LCC總表!$E$9),LCC總表!$U$32)=0,LCC總表!$U$19*(1+AA14),0))</f>
        <v>0</v>
      </c>
      <c r="BK48" s="55">
        <f>SUM(AN48:INDEX(AN48:BJ48,LCC總表!$E$6+LCC總表!$E$9-2018))</f>
        <v>0</v>
      </c>
    </row>
    <row r="49" spans="39:63">
      <c r="AM49" s="52" t="s">
        <v>106</v>
      </c>
      <c r="AN49" s="55">
        <f>IF($AN$39&gt;=LCC總表!$E$9,LCC總表!$W$31,0)</f>
        <v>0</v>
      </c>
      <c r="AO49" s="55">
        <f>IF(OR(ISBLANK(LCC總表!$W$32),LCC總表!$E$9=AO$39),0,IF(MOD((AO$39-LCC總表!$E$9),LCC總表!$W$32)=0,LCC總表!$W$19*(1+F14),0))</f>
        <v>0</v>
      </c>
      <c r="AP49" s="55">
        <f>IF(OR(ISBLANK(LCC總表!$W$32),LCC總表!$E$9=AP$39),0,IF(MOD((AP$39-LCC總表!$E$9),LCC總表!$W$32)=0,LCC總表!$W$19*(1+G14),0))</f>
        <v>0</v>
      </c>
      <c r="AQ49" s="55">
        <f>IF(OR(ISBLANK(LCC總表!$W$32),LCC總表!$E$9=能源價格!AQ47),0,IF(MOD((AQ$39-LCC總表!$E$9),LCC總表!$W$32)=0,LCC總表!$W$19*(1+H14),0))</f>
        <v>0</v>
      </c>
      <c r="AR49" s="55">
        <f>IF(OR(ISBLANK(LCC總表!$W$32),LCC總表!$E$9=能源價格!AR47),0,IF(MOD((AR$39-LCC總表!$E$9),LCC總表!$W$32)=0,LCC總表!$W$19*(1+I14),0))</f>
        <v>0</v>
      </c>
      <c r="AS49" s="55">
        <f>IF(OR(ISBLANK(LCC總表!$W$32),LCC總表!$E$9=能源價格!AS47),0,IF(MOD((AS$39-LCC總表!$E$9),LCC總表!$W$32)=0,LCC總表!$W$19*(1+J14),0))</f>
        <v>0</v>
      </c>
      <c r="AT49" s="55">
        <f>IF(OR(ISBLANK(LCC總表!$W$32),LCC總表!$E$9=能源價格!AT47),0,IF(MOD((AT$39-LCC總表!$E$9),LCC總表!$W$32)=0,LCC總表!$W$19*(1+K14),0))</f>
        <v>0</v>
      </c>
      <c r="AU49" s="55">
        <f>IF(OR(ISBLANK(LCC總表!$W$32),LCC總表!$E$9=能源價格!AU47),0,IF(MOD((AU$39-LCC總表!$E$9),LCC總表!$W$32)=0,LCC總表!$W$19*(1+L14),0))</f>
        <v>0</v>
      </c>
      <c r="AV49" s="55">
        <f>IF(OR(ISBLANK(LCC總表!$W$32),LCC總表!$E$9=能源價格!AV47),0,IF(MOD((AV$39-LCC總表!$E$9),LCC總表!$W$32)=0,LCC總表!$W$19*(1+M14),0))</f>
        <v>0</v>
      </c>
      <c r="AW49" s="55">
        <f>IF(OR(ISBLANK(LCC總表!$W$32),LCC總表!$E$9=能源價格!AW47),0,IF(MOD((AW$39-LCC總表!$E$9),LCC總表!$W$32)=0,LCC總表!$W$19*(1+N14),0))</f>
        <v>0</v>
      </c>
      <c r="AX49" s="55">
        <f>IF(OR(ISBLANK(LCC總表!$W$32),LCC總表!$E$9=能源價格!AX47),0,IF(MOD((AX$39-LCC總表!$E$9),LCC總表!$W$32)=0,LCC總表!$W$19*(1+O14),0))</f>
        <v>0</v>
      </c>
      <c r="AY49" s="55">
        <f>IF(OR(ISBLANK(LCC總表!$W$32),LCC總表!$E$9=能源價格!AY47),0,IF(MOD((AY$39-LCC總表!$E$9),LCC總表!$W$32)=0,LCC總表!$W$19*(1+P14),0))</f>
        <v>0</v>
      </c>
      <c r="AZ49" s="55">
        <f>IF(OR(ISBLANK(LCC總表!$W$32),LCC總表!$E$9=能源價格!AZ47),0,IF(MOD((AZ$39-LCC總表!$E$9),LCC總表!$W$32)=0,LCC總表!$W$19*(1+Q14),0))</f>
        <v>0</v>
      </c>
      <c r="BA49" s="55">
        <f>IF(OR(ISBLANK(LCC總表!$W$32),LCC總表!$E$9=能源價格!BA47),0,IF(MOD((BA$39-LCC總表!$E$9),LCC總表!$W$32)=0,LCC總表!$W$19*(1+R14),0))</f>
        <v>0</v>
      </c>
      <c r="BB49" s="55">
        <f>IF(OR(ISBLANK(LCC總表!$W$32),LCC總表!$E$9=能源價格!BB47),0,IF(MOD((BB$39-LCC總表!$E$9),LCC總表!$W$32)=0,LCC總表!$W$19*(1+S14),0))</f>
        <v>0</v>
      </c>
      <c r="BC49" s="55">
        <f>IF(OR(ISBLANK(LCC總表!$W$32),LCC總表!$E$9=能源價格!BC47),0,IF(MOD((BC$39-LCC總表!$E$9),LCC總表!$W$32)=0,LCC總表!$W$19*(1+T14),0))</f>
        <v>0</v>
      </c>
      <c r="BD49" s="55">
        <f>IF(OR(ISBLANK(LCC總表!$W$32),LCC總表!$E$9=能源價格!BD47),0,IF(MOD((BD$39-LCC總表!$E$9),LCC總表!$W$32)=0,LCC總表!$W$19*(1+U14),0))</f>
        <v>0</v>
      </c>
      <c r="BE49" s="55">
        <f>IF(OR(ISBLANK(LCC總表!$W$32),LCC總表!$E$9=能源價格!BE47),0,IF(MOD((BE$39-LCC總表!$E$9),LCC總表!$W$32)=0,LCC總表!$W$19*(1+V14),0))</f>
        <v>0</v>
      </c>
      <c r="BF49" s="55">
        <f>IF(OR(ISBLANK(LCC總表!$W$32),LCC總表!$E$9=能源價格!BF47),0,IF(MOD((BF$39-LCC總表!$E$9),LCC總表!$W$32)=0,LCC總表!$W$19*(1+W14),0))</f>
        <v>0</v>
      </c>
      <c r="BG49" s="55">
        <f>IF(OR(ISBLANK(LCC總表!$W$32),LCC總表!$E$9=能源價格!BG47),0,IF(MOD((BG$39-LCC總表!$E$9),LCC總表!$W$32)=0,LCC總表!$W$19*(1+X14),0))</f>
        <v>0</v>
      </c>
      <c r="BH49" s="55">
        <f>IF(OR(ISBLANK(LCC總表!$W$32),LCC總表!$E$9=能源價格!BH47),0,IF(MOD((BH$39-LCC總表!$E$9),LCC總表!$W$32)=0,LCC總表!$W$19*(1+Y14),0))</f>
        <v>0</v>
      </c>
      <c r="BI49" s="55">
        <f>IF(OR(ISBLANK(LCC總表!$W$32),LCC總表!$E$9=能源價格!BI47),0,IF(MOD((BI$39-LCC總表!$E$9),LCC總表!$W$32)=0,LCC總表!$W$19*(1+Z14),0))</f>
        <v>0</v>
      </c>
      <c r="BJ49" s="55">
        <f>IF(OR(ISBLANK(LCC總表!$W$32),LCC總表!$E$9=能源價格!BJ47),0,IF(MOD((BJ$39-LCC總表!$E$9),LCC總表!$W$32)=0,LCC總表!$W$19*(1+AA14),0))</f>
        <v>0</v>
      </c>
      <c r="BK49" s="55">
        <f>SUM(AN49:INDEX(AN49:BJ49,LCC總表!$E$6+LCC總表!$E$9-2018))</f>
        <v>0</v>
      </c>
    </row>
    <row r="50" spans="39:63">
      <c r="AM50" s="150"/>
      <c r="AN50" s="150"/>
      <c r="AO50" s="150"/>
      <c r="AP50" s="150"/>
      <c r="AQ50" s="150"/>
      <c r="AR50" s="150"/>
      <c r="AS50" s="150"/>
      <c r="AT50" s="150"/>
      <c r="AU50" s="150"/>
      <c r="AV50" s="150"/>
      <c r="AW50" s="150"/>
      <c r="AX50" s="150"/>
      <c r="AY50" s="150"/>
      <c r="AZ50" s="150"/>
      <c r="BA50" s="150"/>
      <c r="BB50" s="150"/>
      <c r="BC50" s="150"/>
      <c r="BD50" s="150"/>
      <c r="BE50" s="150"/>
      <c r="BF50" s="150"/>
      <c r="BG50" s="150"/>
      <c r="BH50" s="150"/>
      <c r="BI50" s="150"/>
      <c r="BJ50" s="150"/>
      <c r="BK50" s="150"/>
    </row>
    <row r="51" spans="39:63">
      <c r="AM51" s="53" t="s">
        <v>50</v>
      </c>
      <c r="AN51" s="51">
        <v>2018</v>
      </c>
      <c r="AO51" s="51">
        <v>2019</v>
      </c>
      <c r="AP51" s="51">
        <v>2020</v>
      </c>
      <c r="AQ51" s="51">
        <v>2021</v>
      </c>
      <c r="AR51" s="51">
        <v>2022</v>
      </c>
      <c r="AS51" s="51">
        <v>2023</v>
      </c>
      <c r="AT51" s="51">
        <v>2024</v>
      </c>
      <c r="AU51" s="51">
        <v>2025</v>
      </c>
      <c r="AV51" s="51">
        <v>2026</v>
      </c>
      <c r="AW51" s="51">
        <v>2027</v>
      </c>
      <c r="AX51" s="51">
        <v>2028</v>
      </c>
      <c r="AY51" s="51">
        <v>2029</v>
      </c>
      <c r="AZ51" s="51">
        <v>2030</v>
      </c>
      <c r="BA51" s="51">
        <v>2031</v>
      </c>
      <c r="BB51" s="51">
        <v>2032</v>
      </c>
      <c r="BC51" s="51">
        <v>2033</v>
      </c>
      <c r="BD51" s="51">
        <v>2034</v>
      </c>
      <c r="BE51" s="51">
        <v>2035</v>
      </c>
      <c r="BF51" s="51">
        <v>2036</v>
      </c>
      <c r="BG51" s="51">
        <v>2037</v>
      </c>
      <c r="BH51" s="51">
        <v>2038</v>
      </c>
      <c r="BI51" s="51">
        <v>2039</v>
      </c>
      <c r="BJ51" s="51">
        <v>2040</v>
      </c>
      <c r="BK51" s="66" t="s">
        <v>160</v>
      </c>
    </row>
    <row r="52" spans="39:63">
      <c r="AM52" s="52" t="s">
        <v>97</v>
      </c>
      <c r="AN52" s="55">
        <f>IF(AN$51&gt;=LCC總表!$E$9,AN4/(1+LCC總表!$E$7*0.01)^(AN$51-LCC總表!$E$9+1),0)</f>
        <v>0</v>
      </c>
      <c r="AO52" s="55">
        <f>IF(AO$51&gt;=LCC總表!$E$9,AO4/(1+LCC總表!$E$7*0.01)^(AO$51-LCC總表!$E$9+1),0)</f>
        <v>98947.946048780504</v>
      </c>
      <c r="AP52" s="55">
        <f>IF(AP$51&gt;=LCC總表!$E$9,AP4/(1+LCC總表!$E$7*0.01)^(AP$51-LCC總表!$E$9+1),0)</f>
        <v>103985.6412839556</v>
      </c>
      <c r="AQ52" s="55">
        <f>IF(AQ$51&gt;=LCC總表!$E$9,AQ4/(1+LCC總表!$E$7*0.01)^(AQ$51-LCC總表!$E$9+1),0)</f>
        <v>102796.08599981628</v>
      </c>
      <c r="AR52" s="55">
        <f>IF(AR$51&gt;=LCC總表!$E$9,AR4/(1+LCC總表!$E$7*0.01)^(AR$51-LCC總表!$E$9+1),0)</f>
        <v>100666.26645775176</v>
      </c>
      <c r="AS52" s="55">
        <f>IF(AS$51&gt;=LCC總表!$E$9,AS4/(1+LCC總表!$E$7*0.01)^(AS$51-LCC總表!$E$9+1),0)</f>
        <v>100270.49503252273</v>
      </c>
      <c r="AT52" s="55">
        <f>IF(AT$51&gt;=LCC總表!$E$9,AT4/(1+LCC總表!$E$7*0.01)^(AT$51-LCC總表!$E$9+1),0)</f>
        <v>100468.396728427</v>
      </c>
      <c r="AU52" s="55">
        <f>IF(AU$51&gt;=LCC總表!$E$9,AU4/(1+LCC總表!$E$7*0.01)^(AU$51-LCC總表!$E$9+1),0)</f>
        <v>99229.786535945794</v>
      </c>
      <c r="AV52" s="55">
        <f>IF(AV$51&gt;=LCC總表!$E$9,AV4/(1+LCC總表!$E$7*0.01)^(AV$51-LCC總表!$E$9+1),0)</f>
        <v>97403.880594319591</v>
      </c>
      <c r="AW52" s="55">
        <f>IF(AW$51&gt;=LCC總表!$E$9,AW4/(1+LCC總表!$E$7*0.01)^(AW$51-LCC總表!$E$9+1),0)</f>
        <v>96877.115550316987</v>
      </c>
      <c r="AX52" s="55">
        <f>IF(AX$51&gt;=LCC總表!$E$9,AX4/(1+LCC總表!$E$7*0.01)^(AX$51-LCC總表!$E$9+1),0)</f>
        <v>95299.284655042968</v>
      </c>
      <c r="AY52" s="55">
        <f>IF(AY$51&gt;=LCC總表!$E$9,AY4/(1+LCC總表!$E$7*0.01)^(AY$51-LCC總表!$E$9+1),0)</f>
        <v>101741.35133428735</v>
      </c>
      <c r="AZ52" s="55">
        <f>IF(AZ$51&gt;=LCC總表!$E$9,AZ4/(1+LCC總表!$E$7*0.01)^(AZ$51-LCC總表!$E$9+1),0)</f>
        <v>99621.069446468886</v>
      </c>
      <c r="BA52" s="55">
        <f>IF(BA$51&gt;=LCC總表!$E$9,BA4/(1+LCC總表!$E$7*0.01)^(BA$51-LCC總表!$E$9+1),0)</f>
        <v>98725.108871748467</v>
      </c>
      <c r="BB52" s="55">
        <f>IF(BB$51&gt;=LCC總表!$E$9,BB4/(1+LCC總表!$E$7*0.01)^(BB$51-LCC總表!$E$9+1),0)</f>
        <v>97002.891451818534</v>
      </c>
      <c r="BC52" s="55">
        <f>IF(BC$51&gt;=LCC總表!$E$9,BC4/(1+LCC總表!$E$7*0.01)^(BC$51-LCC總表!$E$9+1),0)</f>
        <v>95083.63431693289</v>
      </c>
      <c r="BD52" s="55">
        <f>IF(BD$51&gt;=LCC總表!$E$9,BD4/(1+LCC總表!$E$7*0.01)^(BD$51-LCC總表!$E$9+1),0)</f>
        <v>92935.230536250645</v>
      </c>
      <c r="BE52" s="55">
        <f>IF(BE$51&gt;=LCC總表!$E$9,BE4/(1+LCC總表!$E$7*0.01)^(BE$51-LCC總表!$E$9+1),0)</f>
        <v>91251.867304170097</v>
      </c>
      <c r="BF52" s="55">
        <f>IF(BF$51&gt;=LCC總表!$E$9,BF4/(1+LCC總表!$E$7*0.01)^(BF$51-LCC總表!$E$9+1),0)</f>
        <v>89544.103374743005</v>
      </c>
      <c r="BG52" s="55">
        <f>IF(BG$51&gt;=LCC總表!$E$9,BG4/(1+LCC總表!$E$7*0.01)^(BG$51-LCC總表!$E$9+1),0)</f>
        <v>87294.186501881573</v>
      </c>
      <c r="BH52" s="55">
        <f>IF(BH$51&gt;=LCC總表!$E$9,BH4/(1+LCC總表!$E$7*0.01)^(BH$51-LCC總表!$E$9+1),0)</f>
        <v>85484.125978995886</v>
      </c>
      <c r="BI52" s="55">
        <f>IF(BI$51&gt;=LCC總表!$E$9,BI4/(1+LCC總表!$E$7*0.01)^(BI$51-LCC總表!$E$9+1),0)</f>
        <v>83654.699343240602</v>
      </c>
      <c r="BJ52" s="55">
        <f>IF(BJ$51&gt;=LCC總表!$E$9,BJ4/(1+LCC總表!$E$7*0.01)^(BJ$51-LCC總表!$E$9+1),0)</f>
        <v>81787.413636035111</v>
      </c>
      <c r="BK52" s="55">
        <f>SUM(AN52:INDEX(AN52:BJ52,LCC總表!$E$6+LCC總表!$E$9-2018))</f>
        <v>803768.4986815193</v>
      </c>
    </row>
    <row r="53" spans="39:63">
      <c r="AM53" s="52" t="s">
        <v>98</v>
      </c>
      <c r="AN53" s="55">
        <f>IF(AN$51&gt;=LCC總表!$E$9,AN5/(1+LCC總表!$E$7*0.01)^(AN$51-LCC總表!$E$9+1),0)</f>
        <v>0</v>
      </c>
      <c r="AO53" s="55">
        <f>IF(AO$51&gt;=LCC總表!$E$9,AO5/(1+LCC總表!$E$7*0.01)^(AO$51-LCC總表!$E$9+1),0)</f>
        <v>75955.892195121953</v>
      </c>
      <c r="AP53" s="55">
        <f>IF(AP$51&gt;=LCC總表!$E$9,AP5/(1+LCC總表!$E$7*0.01)^(AP$51-LCC總表!$E$9+1),0)</f>
        <v>79823.002645360102</v>
      </c>
      <c r="AQ53" s="55">
        <f>IF(AQ$51&gt;=LCC總表!$E$9,AQ5/(1+LCC總表!$E$7*0.01)^(AQ$51-LCC總表!$E$9+1),0)</f>
        <v>78909.85854757679</v>
      </c>
      <c r="AR53" s="55">
        <f>IF(AR$51&gt;=LCC總表!$E$9,AR5/(1+LCC總表!$E$7*0.01)^(AR$51-LCC總表!$E$9+1),0)</f>
        <v>77274.934832713989</v>
      </c>
      <c r="AS53" s="55">
        <f>IF(AS$51&gt;=LCC總表!$E$9,AS5/(1+LCC總表!$E$7*0.01)^(AS$51-LCC總表!$E$9+1),0)</f>
        <v>76971.126892185493</v>
      </c>
      <c r="AT53" s="55">
        <f>IF(AT$51&gt;=LCC總表!$E$9,AT5/(1+LCC總表!$E$7*0.01)^(AT$51-LCC總表!$E$9+1),0)</f>
        <v>77123.043131780054</v>
      </c>
      <c r="AU53" s="55">
        <f>IF(AU$51&gt;=LCC總表!$E$9,AU5/(1+LCC總表!$E$7*0.01)^(AU$51-LCC總表!$E$9+1),0)</f>
        <v>76172.242776555897</v>
      </c>
      <c r="AV53" s="55">
        <f>IF(AV$51&gt;=LCC總表!$E$9,AV5/(1+LCC總表!$E$7*0.01)^(AV$51-LCC總表!$E$9+1),0)</f>
        <v>74770.613734228726</v>
      </c>
      <c r="AW53" s="55">
        <f>IF(AW$51&gt;=LCC總表!$E$9,AW5/(1+LCC總表!$E$7*0.01)^(AW$51-LCC總表!$E$9+1),0)</f>
        <v>74366.25052617694</v>
      </c>
      <c r="AX53" s="55">
        <f>IF(AX$51&gt;=LCC總表!$E$9,AX5/(1+LCC總表!$E$7*0.01)^(AX$51-LCC總表!$E$9+1),0)</f>
        <v>73155.05253602883</v>
      </c>
      <c r="AY53" s="55">
        <f>IF(AY$51&gt;=LCC總表!$E$9,AY5/(1+LCC總表!$E$7*0.01)^(AY$51-LCC總表!$E$9+1),0)</f>
        <v>78100.207455780735</v>
      </c>
      <c r="AZ53" s="55">
        <f>IF(AZ$51&gt;=LCC總表!$E$9,AZ5/(1+LCC總表!$E$7*0.01)^(AZ$51-LCC總表!$E$9+1),0)</f>
        <v>76472.605176749974</v>
      </c>
      <c r="BA53" s="55">
        <f>IF(BA$51&gt;=LCC總表!$E$9,BA5/(1+LCC總表!$E$7*0.01)^(BA$51-LCC總表!$E$9+1),0)</f>
        <v>75784.834611093218</v>
      </c>
      <c r="BB53" s="55">
        <f>IF(BB$51&gt;=LCC總表!$E$9,BB5/(1+LCC總表!$E$7*0.01)^(BB$51-LCC總表!$E$9+1),0)</f>
        <v>74462.800492059876</v>
      </c>
      <c r="BC53" s="55">
        <f>IF(BC$51&gt;=LCC總表!$E$9,BC5/(1+LCC總表!$E$7*0.01)^(BC$51-LCC總表!$E$9+1),0)</f>
        <v>72989.511820052212</v>
      </c>
      <c r="BD53" s="55">
        <f>IF(BD$51&gt;=LCC總表!$E$9,BD5/(1+LCC總表!$E$7*0.01)^(BD$51-LCC總表!$E$9+1),0)</f>
        <v>71340.32219587703</v>
      </c>
      <c r="BE53" s="55">
        <f>IF(BE$51&gt;=LCC總表!$E$9,BE5/(1+LCC總表!$E$7*0.01)^(BE$51-LCC總表!$E$9+1),0)</f>
        <v>70048.113905690741</v>
      </c>
      <c r="BF53" s="55">
        <f>IF(BF$51&gt;=LCC總表!$E$9,BF5/(1+LCC總表!$E$7*0.01)^(BF$51-LCC總表!$E$9+1),0)</f>
        <v>68737.174789740471</v>
      </c>
      <c r="BG53" s="55">
        <f>IF(BG$51&gt;=LCC總表!$E$9,BG5/(1+LCC總表!$E$7*0.01)^(BG$51-LCC總表!$E$9+1),0)</f>
        <v>67010.060177792911</v>
      </c>
      <c r="BH53" s="55">
        <f>IF(BH$51&gt;=LCC總表!$E$9,BH5/(1+LCC總表!$E$7*0.01)^(BH$51-LCC總表!$E$9+1),0)</f>
        <v>65620.59463117941</v>
      </c>
      <c r="BI53" s="55">
        <f>IF(BI$51&gt;=LCC總表!$E$9,BI5/(1+LCC總表!$E$7*0.01)^(BI$51-LCC總表!$E$9+1),0)</f>
        <v>64216.262981325781</v>
      </c>
      <c r="BJ53" s="55">
        <f>IF(BJ$51&gt;=LCC總表!$E$9,BJ5/(1+LCC總表!$E$7*0.01)^(BJ$51-LCC總表!$E$9+1),0)</f>
        <v>62782.869388657658</v>
      </c>
      <c r="BK53" s="55">
        <f>SUM(AN53:INDEX(AN53:BJ53,LCC總表!$E$6+LCC總表!$E$9-2018))</f>
        <v>617000.71475552302</v>
      </c>
    </row>
    <row r="54" spans="39:63">
      <c r="AM54" s="52" t="s">
        <v>99</v>
      </c>
      <c r="AN54" s="55">
        <f>IF(AN$51&gt;=LCC總表!$E$9,AN6/(1+LCC總表!$E$7*0.01)^(AN$51-LCC總表!$E$9+1),0)</f>
        <v>0</v>
      </c>
      <c r="AO54" s="55">
        <f>IF(AO$51&gt;=LCC總表!$E$9,AO6/(1+LCC總表!$E$7*0.01)^(AO$51-LCC總表!$E$9+1),0)</f>
        <v>141058.03902439025</v>
      </c>
      <c r="AP54" s="55">
        <f>IF(AP$51&gt;=LCC總表!$E$9,AP6/(1+LCC總表!$E$7*0.01)^(AP$51-LCC總表!$E$9+1),0)</f>
        <v>148239.66774385847</v>
      </c>
      <c r="AQ54" s="55">
        <f>IF(AQ$51&gt;=LCC總表!$E$9,AQ6/(1+LCC總表!$E$7*0.01)^(AQ$51-LCC總表!$E$9+1),0)</f>
        <v>146543.86361257237</v>
      </c>
      <c r="AR54" s="55">
        <f>IF(AR$51&gt;=LCC總表!$E$9,AR6/(1+LCC總表!$E$7*0.01)^(AR$51-LCC總表!$E$9+1),0)</f>
        <v>143507.63921301451</v>
      </c>
      <c r="AS54" s="55">
        <f>IF(AS$51&gt;=LCC總表!$E$9,AS6/(1+LCC總表!$E$7*0.01)^(AS$51-LCC總表!$E$9+1),0)</f>
        <v>142943.43608021599</v>
      </c>
      <c r="AT54" s="55">
        <f>IF(AT$51&gt;=LCC總表!$E$9,AT6/(1+LCC總表!$E$7*0.01)^(AT$51-LCC總表!$E$9+1),0)</f>
        <v>143225.56043204537</v>
      </c>
      <c r="AU54" s="55">
        <f>IF(AU$51&gt;=LCC總表!$E$9,AU6/(1+LCC總表!$E$7*0.01)^(AU$51-LCC總表!$E$9+1),0)</f>
        <v>141459.82469074067</v>
      </c>
      <c r="AV54" s="55">
        <f>IF(AV$51&gt;=LCC總表!$E$9,AV6/(1+LCC總表!$E$7*0.01)^(AV$51-LCC總表!$E$9+1),0)</f>
        <v>138856.85290755882</v>
      </c>
      <c r="AW54" s="55">
        <f>IF(AW$51&gt;=LCC總表!$E$9,AW6/(1+LCC總表!$E$7*0.01)^(AW$51-LCC總表!$E$9+1),0)</f>
        <v>138105.90812193413</v>
      </c>
      <c r="AX54" s="55">
        <f>IF(AX$51&gt;=LCC總表!$E$9,AX6/(1+LCC總表!$E$7*0.01)^(AX$51-LCC總表!$E$9+1),0)</f>
        <v>135856.58672733209</v>
      </c>
      <c r="AY54" s="55">
        <f>IF(AY$51&gt;=LCC總表!$E$9,AY6/(1+LCC總表!$E$7*0.01)^(AY$51-LCC總表!$E$9+1),0)</f>
        <v>145040.25682181382</v>
      </c>
      <c r="AZ54" s="55">
        <f>IF(AZ$51&gt;=LCC總表!$E$9,AZ6/(1+LCC總表!$E$7*0.01)^(AZ$51-LCC總表!$E$9+1),0)</f>
        <v>142017.62909463333</v>
      </c>
      <c r="BA54" s="55">
        <f>IF(BA$51&gt;=LCC總表!$E$9,BA6/(1+LCC總表!$E$7*0.01)^(BA$51-LCC總表!$E$9+1),0)</f>
        <v>140740.36719319961</v>
      </c>
      <c r="BB54" s="55">
        <f>IF(BB$51&gt;=LCC總表!$E$9,BB6/(1+LCC總表!$E$7*0.01)^(BB$51-LCC總表!$E$9+1),0)</f>
        <v>138285.21151054202</v>
      </c>
      <c r="BC54" s="55">
        <f>IF(BC$51&gt;=LCC總表!$E$9,BC6/(1+LCC總表!$E$7*0.01)^(BC$51-LCC總表!$E$9+1),0)</f>
        <v>135549.16029734074</v>
      </c>
      <c r="BD54" s="55">
        <f>IF(BD$51&gt;=LCC總表!$E$9,BD6/(1+LCC總表!$E$7*0.01)^(BD$51-LCC總表!$E$9+1),0)</f>
        <v>132486.4426115565</v>
      </c>
      <c r="BE54" s="55">
        <f>IF(BE$51&gt;=LCC總表!$E$9,BE6/(1+LCC總表!$E$7*0.01)^(BE$51-LCC總表!$E$9+1),0)</f>
        <v>130086.67661372591</v>
      </c>
      <c r="BF54" s="55">
        <f>IF(BF$51&gt;=LCC總表!$E$9,BF6/(1+LCC總表!$E$7*0.01)^(BF$51-LCC總表!$E$9+1),0)</f>
        <v>127652.12551265693</v>
      </c>
      <c r="BG54" s="55">
        <f>IF(BG$51&gt;=LCC總表!$E$9,BG6/(1+LCC總表!$E$7*0.01)^(BG$51-LCC總表!$E$9+1),0)</f>
        <v>124444.69297133603</v>
      </c>
      <c r="BH54" s="55">
        <f>IF(BH$51&gt;=LCC總表!$E$9,BH6/(1+LCC總表!$E$7*0.01)^(BH$51-LCC總表!$E$9+1),0)</f>
        <v>121864.31007235352</v>
      </c>
      <c r="BI54" s="55">
        <f>IF(BI$51&gt;=LCC總表!$E$9,BI6/(1+LCC總表!$E$7*0.01)^(BI$51-LCC總表!$E$9+1),0)</f>
        <v>119256.31926422287</v>
      </c>
      <c r="BJ54" s="55">
        <f>IF(BJ$51&gt;=LCC總表!$E$9,BJ6/(1+LCC總表!$E$7*0.01)^(BJ$51-LCC總表!$E$9+1),0)</f>
        <v>116594.35738755261</v>
      </c>
      <c r="BK54" s="55">
        <f>SUM(AN54:INDEX(AN54:BJ54,LCC總表!$E$6+LCC總表!$E$9-2018))</f>
        <v>1145834.8837043964</v>
      </c>
    </row>
    <row r="55" spans="39:63">
      <c r="AM55" s="52" t="s">
        <v>100</v>
      </c>
      <c r="AN55" s="55">
        <f>IF(AN$51&gt;=LCC總表!$E$9,AN7/(1+LCC總表!$E$7*0.01)^(AN$51-LCC總表!$E$9+1),0)</f>
        <v>0</v>
      </c>
      <c r="AO55" s="55">
        <f>IF(AO$51&gt;=LCC總表!$E$9,AO7/(1+LCC總表!$E$7*0.01)^(AO$51-LCC總表!$E$9+1),0)</f>
        <v>80143.730575609763</v>
      </c>
      <c r="AP55" s="55">
        <f>IF(AP$51&gt;=LCC總表!$E$9,AP7/(1+LCC總表!$E$7*0.01)^(AP$51-LCC總表!$E$9+1),0)</f>
        <v>84224.054683104274</v>
      </c>
      <c r="AQ55" s="55">
        <f>IF(AQ$51&gt;=LCC總表!$E$9,AQ7/(1+LCC總表!$E$7*0.01)^(AQ$51-LCC總表!$E$9+1),0)</f>
        <v>83260.564262091837</v>
      </c>
      <c r="AR55" s="55">
        <f>IF(AR$51&gt;=LCC總表!$E$9,AR7/(1+LCC總表!$E$7*0.01)^(AR$51-LCC總表!$E$9+1),0)</f>
        <v>81535.49880727446</v>
      </c>
      <c r="AS55" s="55">
        <f>IF(AS$51&gt;=LCC總表!$E$9,AS7/(1+LCC總表!$E$7*0.01)^(AS$51-LCC總表!$E$9+1),0)</f>
        <v>81214.94037488976</v>
      </c>
      <c r="AT55" s="55">
        <f>IF(AT$51&gt;=LCC總表!$E$9,AT7/(1+LCC總表!$E$7*0.01)^(AT$51-LCC總表!$E$9+1),0)</f>
        <v>81375.232536883617</v>
      </c>
      <c r="AU55" s="55">
        <f>IF(AU$51&gt;=LCC總表!$E$9,AU7/(1+LCC總表!$E$7*0.01)^(AU$51-LCC總表!$E$9+1),0)</f>
        <v>80372.009675587629</v>
      </c>
      <c r="AV55" s="55">
        <f>IF(AV$51&gt;=LCC總表!$E$9,AV7/(1+LCC總表!$E$7*0.01)^(AV$51-LCC總表!$E$9+1),0)</f>
        <v>78893.101626602409</v>
      </c>
      <c r="AW55" s="55">
        <f>IF(AW$51&gt;=LCC總表!$E$9,AW7/(1+LCC總表!$E$7*0.01)^(AW$51-LCC總表!$E$9+1),0)</f>
        <v>78466.443798431006</v>
      </c>
      <c r="AX55" s="55">
        <f>IF(AX$51&gt;=LCC總表!$E$9,AX7/(1+LCC總表!$E$7*0.01)^(AX$51-LCC總表!$E$9+1),0)</f>
        <v>77188.466243420684</v>
      </c>
      <c r="AY55" s="55">
        <f>IF(AY$51&gt;=LCC總表!$E$9,AY7/(1+LCC總表!$E$7*0.01)^(AY$51-LCC總表!$E$9+1),0)</f>
        <v>82406.272947937294</v>
      </c>
      <c r="AZ55" s="55">
        <f>IF(AZ$51&gt;=LCC總表!$E$9,AZ7/(1+LCC總表!$E$7*0.01)^(AZ$51-LCC總表!$E$9+1),0)</f>
        <v>80688.932597305917</v>
      </c>
      <c r="BA55" s="55">
        <f>IF(BA$51&gt;=LCC總表!$E$9,BA7/(1+LCC總表!$E$7*0.01)^(BA$51-LCC總表!$E$9+1),0)</f>
        <v>79963.241708569709</v>
      </c>
      <c r="BB55" s="55">
        <f>IF(BB$51&gt;=LCC總表!$E$9,BB7/(1+LCC總表!$E$7*0.01)^(BB$51-LCC總表!$E$9+1),0)</f>
        <v>78568.317059730209</v>
      </c>
      <c r="BC55" s="55">
        <f>IF(BC$51&gt;=LCC總表!$E$9,BC7/(1+LCC總表!$E$7*0.01)^(BC$51-LCC總表!$E$9+1),0)</f>
        <v>77013.79841769833</v>
      </c>
      <c r="BD55" s="55">
        <f>IF(BD$51&gt;=LCC總表!$E$9,BD7/(1+LCC總表!$E$7*0.01)^(BD$51-LCC總表!$E$9+1),0)</f>
        <v>75273.680500730814</v>
      </c>
      <c r="BE55" s="55">
        <f>IF(BE$51&gt;=LCC總表!$E$9,BE7/(1+LCC總表!$E$7*0.01)^(BE$51-LCC總表!$E$9+1),0)</f>
        <v>73910.226131842341</v>
      </c>
      <c r="BF55" s="55">
        <f>IF(BF$51&gt;=LCC總表!$E$9,BF7/(1+LCC總表!$E$7*0.01)^(BF$51-LCC總表!$E$9+1),0)</f>
        <v>72527.008210580228</v>
      </c>
      <c r="BG55" s="55">
        <f>IF(BG$51&gt;=LCC總表!$E$9,BG7/(1+LCC總表!$E$7*0.01)^(BG$51-LCC總表!$E$9+1),0)</f>
        <v>70704.668901109064</v>
      </c>
      <c r="BH55" s="55">
        <f>IF(BH$51&gt;=LCC總表!$E$9,BH7/(1+LCC總表!$E$7*0.01)^(BH$51-LCC總表!$E$9+1),0)</f>
        <v>69238.594983817413</v>
      </c>
      <c r="BI55" s="55">
        <f>IF(BI$51&gt;=LCC總表!$E$9,BI7/(1+LCC總表!$E$7*0.01)^(BI$51-LCC總表!$E$9+1),0)</f>
        <v>67756.835318674552</v>
      </c>
      <c r="BJ55" s="55">
        <f>IF(BJ$51&gt;=LCC總表!$E$9,BJ7/(1+LCC總表!$E$7*0.01)^(BJ$51-LCC總表!$E$9+1),0)</f>
        <v>66244.41137657284</v>
      </c>
      <c r="BK55" s="55">
        <f>SUM(AN55:INDEX(AN55:BJ55,LCC總表!$E$6+LCC總表!$E$9-2018))</f>
        <v>651019.13254204369</v>
      </c>
    </row>
    <row r="56" spans="39:63">
      <c r="AM56" s="52" t="s">
        <v>101</v>
      </c>
      <c r="AN56" s="55">
        <f>IF(AN$51&gt;=LCC總表!$E$9,AN8/(1+LCC總表!$E$7*0.01)^(AN$51-LCC總表!$E$9+1),0)</f>
        <v>0</v>
      </c>
      <c r="AO56" s="55">
        <f>IF(AO$51&gt;=LCC總表!$E$9,AO8/(1+LCC總表!$E$7*0.01)^(AO$51-LCC總表!$E$9+1),0)</f>
        <v>393499.08292682929</v>
      </c>
      <c r="AP56" s="55">
        <f>IF(AP$51&gt;=LCC總表!$E$9,AP8/(1+LCC總表!$E$7*0.01)^(AP$51-LCC總表!$E$9+1),0)</f>
        <v>413533.13653041789</v>
      </c>
      <c r="AQ56" s="55">
        <f>IF(AQ$51&gt;=LCC總表!$E$9,AQ8/(1+LCC總表!$E$7*0.01)^(AQ$51-LCC總表!$E$9+1),0)</f>
        <v>408802.47831979848</v>
      </c>
      <c r="AR56" s="55">
        <f>IF(AR$51&gt;=LCC總表!$E$9,AR8/(1+LCC總表!$E$7*0.01)^(AR$51-LCC總表!$E$9+1),0)</f>
        <v>400332.54973544105</v>
      </c>
      <c r="AS56" s="55">
        <f>IF(AS$51&gt;=LCC總表!$E$9,AS8/(1+LCC總表!$E$7*0.01)^(AS$51-LCC總表!$E$9+1),0)</f>
        <v>398758.63436786481</v>
      </c>
      <c r="AT56" s="55">
        <f>IF(AT$51&gt;=LCC總表!$E$9,AT8/(1+LCC總表!$E$7*0.01)^(AT$51-LCC總表!$E$9+1),0)</f>
        <v>399545.6556144667</v>
      </c>
      <c r="AU56" s="55">
        <f>IF(AU$51&gt;=LCC總表!$E$9,AU8/(1+LCC總表!$E$7*0.01)^(AU$51-LCC總表!$E$9+1),0)</f>
        <v>394619.9144110576</v>
      </c>
      <c r="AV56" s="55">
        <f>IF(AV$51&gt;=LCC總表!$E$9,AV8/(1+LCC總表!$E$7*0.01)^(AV$51-LCC總表!$E$9+1),0)</f>
        <v>387358.59831272892</v>
      </c>
      <c r="AW56" s="55">
        <f>IF(AW$51&gt;=LCC總表!$E$9,AW8/(1+LCC總表!$E$7*0.01)^(AW$51-LCC總表!$E$9+1),0)</f>
        <v>385263.74369461747</v>
      </c>
      <c r="AX56" s="55">
        <f>IF(AX$51&gt;=LCC總表!$E$9,AX8/(1+LCC總表!$E$7*0.01)^(AX$51-LCC總表!$E$9+1),0)</f>
        <v>378988.97968892643</v>
      </c>
      <c r="AY56" s="55">
        <f>IF(AY$51&gt;=LCC總表!$E$9,AY8/(1+LCC總表!$E$7*0.01)^(AY$51-LCC總表!$E$9+1),0)</f>
        <v>404607.97868448356</v>
      </c>
      <c r="AZ56" s="55">
        <f>IF(AZ$51&gt;=LCC總表!$E$9,AZ8/(1+LCC總表!$E$7*0.01)^(AZ$51-LCC總表!$E$9+1),0)</f>
        <v>396175.97972220479</v>
      </c>
      <c r="BA56" s="55">
        <f>IF(BA$51&gt;=LCC總表!$E$9,BA8/(1+LCC總表!$E$7*0.01)^(BA$51-LCC總表!$E$9+1),0)</f>
        <v>392612.89753030898</v>
      </c>
      <c r="BB56" s="55">
        <f>IF(BB$51&gt;=LCC總表!$E$9,BB8/(1+LCC總表!$E$7*0.01)^(BB$51-LCC總表!$E$9+1),0)</f>
        <v>385763.93297465332</v>
      </c>
      <c r="BC56" s="55">
        <f>IF(BC$51&gt;=LCC總表!$E$9,BC8/(1+LCC總表!$E$7*0.01)^(BC$51-LCC總表!$E$9+1),0)</f>
        <v>378131.37512341741</v>
      </c>
      <c r="BD56" s="55">
        <f>IF(BD$51&gt;=LCC總表!$E$9,BD8/(1+LCC總表!$E$7*0.01)^(BD$51-LCC總表!$E$9+1),0)</f>
        <v>369587.54019592708</v>
      </c>
      <c r="BE56" s="55">
        <f>IF(BE$51&gt;=LCC總表!$E$9,BE8/(1+LCC總表!$E$7*0.01)^(BE$51-LCC總表!$E$9+1),0)</f>
        <v>362893.09210975992</v>
      </c>
      <c r="BF56" s="55">
        <f>IF(BF$51&gt;=LCC總表!$E$9,BF8/(1+LCC總表!$E$7*0.01)^(BF$51-LCC總表!$E$9+1),0)</f>
        <v>356101.60661744064</v>
      </c>
      <c r="BG56" s="55">
        <f>IF(BG$51&gt;=LCC總表!$E$9,BG8/(1+LCC總表!$E$7*0.01)^(BG$51-LCC總表!$E$9+1),0)</f>
        <v>347154.07145894319</v>
      </c>
      <c r="BH56" s="55">
        <f>IF(BH$51&gt;=LCC總表!$E$9,BH8/(1+LCC總表!$E$7*0.01)^(BH$51-LCC總表!$E$9+1),0)</f>
        <v>339955.76988483634</v>
      </c>
      <c r="BI56" s="55">
        <f>IF(BI$51&gt;=LCC總表!$E$9,BI8/(1+LCC總表!$E$7*0.01)^(BI$51-LCC總表!$E$9+1),0)</f>
        <v>332680.45258722693</v>
      </c>
      <c r="BJ56" s="55">
        <f>IF(BJ$51&gt;=LCC總表!$E$9,BJ8/(1+LCC總表!$E$7*0.01)^(BJ$51-LCC總表!$E$9+1),0)</f>
        <v>325254.57622810069</v>
      </c>
      <c r="BK56" s="55">
        <f>SUM(AN56:INDEX(AN56:BJ56,LCC總表!$E$6+LCC總表!$E$9-2018))</f>
        <v>3196450.050218605</v>
      </c>
    </row>
    <row r="57" spans="39:63">
      <c r="AM57" s="52" t="s">
        <v>102</v>
      </c>
      <c r="AN57" s="55">
        <f>IF(AN$51&gt;=LCC總表!$E$9,AN9/(1+LCC總表!$E$7*0.01)^(AN$51-LCC總表!$E$9+1),0)</f>
        <v>0</v>
      </c>
      <c r="AO57" s="55">
        <f>IF(AO$51&gt;=LCC總表!$E$9,AO9/(1+LCC總表!$E$7*0.01)^(AO$51-LCC總表!$E$9+1),0)</f>
        <v>0</v>
      </c>
      <c r="AP57" s="55">
        <f>IF(AP$51&gt;=LCC總表!$E$9,AP9/(1+LCC總表!$E$7*0.01)^(AP$51-LCC總表!$E$9+1),0)</f>
        <v>0</v>
      </c>
      <c r="AQ57" s="55">
        <f>IF(AQ$51&gt;=LCC總表!$E$9,AQ9/(1+LCC總表!$E$7*0.01)^(AQ$51-LCC總表!$E$9+1),0)</f>
        <v>0</v>
      </c>
      <c r="AR57" s="55">
        <f>IF(AR$51&gt;=LCC總表!$E$9,AR9/(1+LCC總表!$E$7*0.01)^(AR$51-LCC總表!$E$9+1),0)</f>
        <v>0</v>
      </c>
      <c r="AS57" s="55">
        <f>IF(AS$51&gt;=LCC總表!$E$9,AS9/(1+LCC總表!$E$7*0.01)^(AS$51-LCC總表!$E$9+1),0)</f>
        <v>0</v>
      </c>
      <c r="AT57" s="55">
        <f>IF(AT$51&gt;=LCC總表!$E$9,AT9/(1+LCC總表!$E$7*0.01)^(AT$51-LCC總表!$E$9+1),0)</f>
        <v>0</v>
      </c>
      <c r="AU57" s="55">
        <f>IF(AU$51&gt;=LCC總表!$E$9,AU9/(1+LCC總表!$E$7*0.01)^(AU$51-LCC總表!$E$9+1),0)</f>
        <v>0</v>
      </c>
      <c r="AV57" s="55">
        <f>IF(AV$51&gt;=LCC總表!$E$9,AV9/(1+LCC總表!$E$7*0.01)^(AV$51-LCC總表!$E$9+1),0)</f>
        <v>0</v>
      </c>
      <c r="AW57" s="55">
        <f>IF(AW$51&gt;=LCC總表!$E$9,AW9/(1+LCC總表!$E$7*0.01)^(AW$51-LCC總表!$E$9+1),0)</f>
        <v>0</v>
      </c>
      <c r="AX57" s="55">
        <f>IF(AX$51&gt;=LCC總表!$E$9,AX9/(1+LCC總表!$E$7*0.01)^(AX$51-LCC總表!$E$9+1),0)</f>
        <v>0</v>
      </c>
      <c r="AY57" s="55">
        <f>IF(AY$51&gt;=LCC總表!$E$9,AY9/(1+LCC總表!$E$7*0.01)^(AY$51-LCC總表!$E$9+1),0)</f>
        <v>0</v>
      </c>
      <c r="AZ57" s="55">
        <f>IF(AZ$51&gt;=LCC總表!$E$9,AZ9/(1+LCC總表!$E$7*0.01)^(AZ$51-LCC總表!$E$9+1),0)</f>
        <v>0</v>
      </c>
      <c r="BA57" s="55">
        <f>IF(BA$51&gt;=LCC總表!$E$9,BA9/(1+LCC總表!$E$7*0.01)^(BA$51-LCC總表!$E$9+1),0)</f>
        <v>0</v>
      </c>
      <c r="BB57" s="55">
        <f>IF(BB$51&gt;=LCC總表!$E$9,BB9/(1+LCC總表!$E$7*0.01)^(BB$51-LCC總表!$E$9+1),0)</f>
        <v>0</v>
      </c>
      <c r="BC57" s="55">
        <f>IF(BC$51&gt;=LCC總表!$E$9,BC9/(1+LCC總表!$E$7*0.01)^(BC$51-LCC總表!$E$9+1),0)</f>
        <v>0</v>
      </c>
      <c r="BD57" s="55">
        <f>IF(BD$51&gt;=LCC總表!$E$9,BD9/(1+LCC總表!$E$7*0.01)^(BD$51-LCC總表!$E$9+1),0)</f>
        <v>0</v>
      </c>
      <c r="BE57" s="55">
        <f>IF(BE$51&gt;=LCC總表!$E$9,BE9/(1+LCC總表!$E$7*0.01)^(BE$51-LCC總表!$E$9+1),0)</f>
        <v>0</v>
      </c>
      <c r="BF57" s="55">
        <f>IF(BF$51&gt;=LCC總表!$E$9,BF9/(1+LCC總表!$E$7*0.01)^(BF$51-LCC總表!$E$9+1),0)</f>
        <v>0</v>
      </c>
      <c r="BG57" s="55">
        <f>IF(BG$51&gt;=LCC總表!$E$9,BG9/(1+LCC總表!$E$7*0.01)^(BG$51-LCC總表!$E$9+1),0)</f>
        <v>0</v>
      </c>
      <c r="BH57" s="55">
        <f>IF(BH$51&gt;=LCC總表!$E$9,BH9/(1+LCC總表!$E$7*0.01)^(BH$51-LCC總表!$E$9+1),0)</f>
        <v>0</v>
      </c>
      <c r="BI57" s="55">
        <f>IF(BI$51&gt;=LCC總表!$E$9,BI9/(1+LCC總表!$E$7*0.01)^(BI$51-LCC總表!$E$9+1),0)</f>
        <v>0</v>
      </c>
      <c r="BJ57" s="55">
        <f>IF(BJ$51&gt;=LCC總表!$E$9,BJ9/(1+LCC總表!$E$7*0.01)^(BJ$51-LCC總表!$E$9+1),0)</f>
        <v>0</v>
      </c>
      <c r="BK57" s="55">
        <f>SUM(AN57:INDEX(AN57:BJ57,LCC總表!$E$6+LCC總表!$E$9-2018))</f>
        <v>0</v>
      </c>
    </row>
    <row r="58" spans="39:63">
      <c r="AM58" s="52" t="s">
        <v>103</v>
      </c>
      <c r="AN58" s="55">
        <f>IF(AN$51&gt;=LCC總表!$E$9,AN10/(1+LCC總表!$E$7*0.01)^(AN$51-LCC總表!$E$9+1),0)</f>
        <v>0</v>
      </c>
      <c r="AO58" s="55">
        <f>IF(AO$51&gt;=LCC總表!$E$9,AO10/(1+LCC總表!$E$7*0.01)^(AO$51-LCC總表!$E$9+1),0)</f>
        <v>0</v>
      </c>
      <c r="AP58" s="55">
        <f>IF(AP$51&gt;=LCC總表!$E$9,AP10/(1+LCC總表!$E$7*0.01)^(AP$51-LCC總表!$E$9+1),0)</f>
        <v>0</v>
      </c>
      <c r="AQ58" s="55">
        <f>IF(AQ$51&gt;=LCC總表!$E$9,AQ10/(1+LCC總表!$E$7*0.01)^(AQ$51-LCC總表!$E$9+1),0)</f>
        <v>0</v>
      </c>
      <c r="AR58" s="55">
        <f>IF(AR$51&gt;=LCC總表!$E$9,AR10/(1+LCC總表!$E$7*0.01)^(AR$51-LCC總表!$E$9+1),0)</f>
        <v>0</v>
      </c>
      <c r="AS58" s="55">
        <f>IF(AS$51&gt;=LCC總表!$E$9,AS10/(1+LCC總表!$E$7*0.01)^(AS$51-LCC總表!$E$9+1),0)</f>
        <v>0</v>
      </c>
      <c r="AT58" s="55">
        <f>IF(AT$51&gt;=LCC總表!$E$9,AT10/(1+LCC總表!$E$7*0.01)^(AT$51-LCC總表!$E$9+1),0)</f>
        <v>0</v>
      </c>
      <c r="AU58" s="55">
        <f>IF(AU$51&gt;=LCC總表!$E$9,AU10/(1+LCC總表!$E$7*0.01)^(AU$51-LCC總表!$E$9+1),0)</f>
        <v>0</v>
      </c>
      <c r="AV58" s="55">
        <f>IF(AV$51&gt;=LCC總表!$E$9,AV10/(1+LCC總表!$E$7*0.01)^(AV$51-LCC總表!$E$9+1),0)</f>
        <v>0</v>
      </c>
      <c r="AW58" s="55">
        <f>IF(AW$51&gt;=LCC總表!$E$9,AW10/(1+LCC總表!$E$7*0.01)^(AW$51-LCC總表!$E$9+1),0)</f>
        <v>0</v>
      </c>
      <c r="AX58" s="55">
        <f>IF(AX$51&gt;=LCC總表!$E$9,AX10/(1+LCC總表!$E$7*0.01)^(AX$51-LCC總表!$E$9+1),0)</f>
        <v>0</v>
      </c>
      <c r="AY58" s="55">
        <f>IF(AY$51&gt;=LCC總表!$E$9,AY10/(1+LCC總表!$E$7*0.01)^(AY$51-LCC總表!$E$9+1),0)</f>
        <v>0</v>
      </c>
      <c r="AZ58" s="55">
        <f>IF(AZ$51&gt;=LCC總表!$E$9,AZ10/(1+LCC總表!$E$7*0.01)^(AZ$51-LCC總表!$E$9+1),0)</f>
        <v>0</v>
      </c>
      <c r="BA58" s="55">
        <f>IF(BA$51&gt;=LCC總表!$E$9,BA10/(1+LCC總表!$E$7*0.01)^(BA$51-LCC總表!$E$9+1),0)</f>
        <v>0</v>
      </c>
      <c r="BB58" s="55">
        <f>IF(BB$51&gt;=LCC總表!$E$9,BB10/(1+LCC總表!$E$7*0.01)^(BB$51-LCC總表!$E$9+1),0)</f>
        <v>0</v>
      </c>
      <c r="BC58" s="55">
        <f>IF(BC$51&gt;=LCC總表!$E$9,BC10/(1+LCC總表!$E$7*0.01)^(BC$51-LCC總表!$E$9+1),0)</f>
        <v>0</v>
      </c>
      <c r="BD58" s="55">
        <f>IF(BD$51&gt;=LCC總表!$E$9,BD10/(1+LCC總表!$E$7*0.01)^(BD$51-LCC總表!$E$9+1),0)</f>
        <v>0</v>
      </c>
      <c r="BE58" s="55">
        <f>IF(BE$51&gt;=LCC總表!$E$9,BE10/(1+LCC總表!$E$7*0.01)^(BE$51-LCC總表!$E$9+1),0)</f>
        <v>0</v>
      </c>
      <c r="BF58" s="55">
        <f>IF(BF$51&gt;=LCC總表!$E$9,BF10/(1+LCC總表!$E$7*0.01)^(BF$51-LCC總表!$E$9+1),0)</f>
        <v>0</v>
      </c>
      <c r="BG58" s="55">
        <f>IF(BG$51&gt;=LCC總表!$E$9,BG10/(1+LCC總表!$E$7*0.01)^(BG$51-LCC總表!$E$9+1),0)</f>
        <v>0</v>
      </c>
      <c r="BH58" s="55">
        <f>IF(BH$51&gt;=LCC總表!$E$9,BH10/(1+LCC總表!$E$7*0.01)^(BH$51-LCC總表!$E$9+1),0)</f>
        <v>0</v>
      </c>
      <c r="BI58" s="55">
        <f>IF(BI$51&gt;=LCC總表!$E$9,BI10/(1+LCC總表!$E$7*0.01)^(BI$51-LCC總表!$E$9+1),0)</f>
        <v>0</v>
      </c>
      <c r="BJ58" s="55">
        <f>IF(BJ$51&gt;=LCC總表!$E$9,BJ10/(1+LCC總表!$E$7*0.01)^(BJ$51-LCC總表!$E$9+1),0)</f>
        <v>0</v>
      </c>
      <c r="BK58" s="55">
        <f>SUM(AN58:INDEX(AN58:BJ58,LCC總表!$E$6+LCC總表!$E$9-2018))</f>
        <v>0</v>
      </c>
    </row>
    <row r="59" spans="39:63">
      <c r="AM59" s="52" t="s">
        <v>104</v>
      </c>
      <c r="AN59" s="55">
        <f>IF(AN$51&gt;=LCC總表!$E$9,AN11/(1+LCC總表!$E$7*0.01)^(AN$51-LCC總表!$E$9+1),0)</f>
        <v>0</v>
      </c>
      <c r="AO59" s="55">
        <f>IF(AO$51&gt;=LCC總表!$E$9,AO11/(1+LCC總表!$E$7*0.01)^(AO$51-LCC總表!$E$9+1),0)</f>
        <v>0</v>
      </c>
      <c r="AP59" s="55">
        <f>IF(AP$51&gt;=LCC總表!$E$9,AP11/(1+LCC總表!$E$7*0.01)^(AP$51-LCC總表!$E$9+1),0)</f>
        <v>0</v>
      </c>
      <c r="AQ59" s="55">
        <f>IF(AQ$51&gt;=LCC總表!$E$9,AQ11/(1+LCC總表!$E$7*0.01)^(AQ$51-LCC總表!$E$9+1),0)</f>
        <v>0</v>
      </c>
      <c r="AR59" s="55">
        <f>IF(AR$51&gt;=LCC總表!$E$9,AR11/(1+LCC總表!$E$7*0.01)^(AR$51-LCC總表!$E$9+1),0)</f>
        <v>0</v>
      </c>
      <c r="AS59" s="55">
        <f>IF(AS$51&gt;=LCC總表!$E$9,AS11/(1+LCC總表!$E$7*0.01)^(AS$51-LCC總表!$E$9+1),0)</f>
        <v>0</v>
      </c>
      <c r="AT59" s="55">
        <f>IF(AT$51&gt;=LCC總表!$E$9,AT11/(1+LCC總表!$E$7*0.01)^(AT$51-LCC總表!$E$9+1),0)</f>
        <v>0</v>
      </c>
      <c r="AU59" s="55">
        <f>IF(AU$51&gt;=LCC總表!$E$9,AU11/(1+LCC總表!$E$7*0.01)^(AU$51-LCC總表!$E$9+1),0)</f>
        <v>0</v>
      </c>
      <c r="AV59" s="55">
        <f>IF(AV$51&gt;=LCC總表!$E$9,AV11/(1+LCC總表!$E$7*0.01)^(AV$51-LCC總表!$E$9+1),0)</f>
        <v>0</v>
      </c>
      <c r="AW59" s="55">
        <f>IF(AW$51&gt;=LCC總表!$E$9,AW11/(1+LCC總表!$E$7*0.01)^(AW$51-LCC總表!$E$9+1),0)</f>
        <v>0</v>
      </c>
      <c r="AX59" s="55">
        <f>IF(AX$51&gt;=LCC總表!$E$9,AX11/(1+LCC總表!$E$7*0.01)^(AX$51-LCC總表!$E$9+1),0)</f>
        <v>0</v>
      </c>
      <c r="AY59" s="55">
        <f>IF(AY$51&gt;=LCC總表!$E$9,AY11/(1+LCC總表!$E$7*0.01)^(AY$51-LCC總表!$E$9+1),0)</f>
        <v>0</v>
      </c>
      <c r="AZ59" s="55">
        <f>IF(AZ$51&gt;=LCC總表!$E$9,AZ11/(1+LCC總表!$E$7*0.01)^(AZ$51-LCC總表!$E$9+1),0)</f>
        <v>0</v>
      </c>
      <c r="BA59" s="55">
        <f>IF(BA$51&gt;=LCC總表!$E$9,BA11/(1+LCC總表!$E$7*0.01)^(BA$51-LCC總表!$E$9+1),0)</f>
        <v>0</v>
      </c>
      <c r="BB59" s="55">
        <f>IF(BB$51&gt;=LCC總表!$E$9,BB11/(1+LCC總表!$E$7*0.01)^(BB$51-LCC總表!$E$9+1),0)</f>
        <v>0</v>
      </c>
      <c r="BC59" s="55">
        <f>IF(BC$51&gt;=LCC總表!$E$9,BC11/(1+LCC總表!$E$7*0.01)^(BC$51-LCC總表!$E$9+1),0)</f>
        <v>0</v>
      </c>
      <c r="BD59" s="55">
        <f>IF(BD$51&gt;=LCC總表!$E$9,BD11/(1+LCC總表!$E$7*0.01)^(BD$51-LCC總表!$E$9+1),0)</f>
        <v>0</v>
      </c>
      <c r="BE59" s="55">
        <f>IF(BE$51&gt;=LCC總表!$E$9,BE11/(1+LCC總表!$E$7*0.01)^(BE$51-LCC總表!$E$9+1),0)</f>
        <v>0</v>
      </c>
      <c r="BF59" s="55">
        <f>IF(BF$51&gt;=LCC總表!$E$9,BF11/(1+LCC總表!$E$7*0.01)^(BF$51-LCC總表!$E$9+1),0)</f>
        <v>0</v>
      </c>
      <c r="BG59" s="55">
        <f>IF(BG$51&gt;=LCC總表!$E$9,BG11/(1+LCC總表!$E$7*0.01)^(BG$51-LCC總表!$E$9+1),0)</f>
        <v>0</v>
      </c>
      <c r="BH59" s="55">
        <f>IF(BH$51&gt;=LCC總表!$E$9,BH11/(1+LCC總表!$E$7*0.01)^(BH$51-LCC總表!$E$9+1),0)</f>
        <v>0</v>
      </c>
      <c r="BI59" s="55">
        <f>IF(BI$51&gt;=LCC總表!$E$9,BI11/(1+LCC總表!$E$7*0.01)^(BI$51-LCC總表!$E$9+1),0)</f>
        <v>0</v>
      </c>
      <c r="BJ59" s="55">
        <f>IF(BJ$51&gt;=LCC總表!$E$9,BJ11/(1+LCC總表!$E$7*0.01)^(BJ$51-LCC總表!$E$9+1),0)</f>
        <v>0</v>
      </c>
      <c r="BK59" s="55">
        <f>SUM(AN59:INDEX(AN59:BJ59,LCC總表!$E$6+LCC總表!$E$9-2018))</f>
        <v>0</v>
      </c>
    </row>
    <row r="60" spans="39:63">
      <c r="AM60" s="52" t="s">
        <v>105</v>
      </c>
      <c r="AN60" s="55">
        <f>IF(AN$51&gt;=LCC總表!$E$9,AN12/(1+LCC總表!$E$7*0.01)^(AN$51-LCC總表!$E$9+1),0)</f>
        <v>0</v>
      </c>
      <c r="AO60" s="55">
        <f>IF(AO$51&gt;=LCC總表!$E$9,AO12/(1+LCC總表!$E$7*0.01)^(AO$51-LCC總表!$E$9+1),0)</f>
        <v>0</v>
      </c>
      <c r="AP60" s="55">
        <f>IF(AP$51&gt;=LCC總表!$E$9,AP12/(1+LCC總表!$E$7*0.01)^(AP$51-LCC總表!$E$9+1),0)</f>
        <v>0</v>
      </c>
      <c r="AQ60" s="55">
        <f>IF(AQ$51&gt;=LCC總表!$E$9,AQ12/(1+LCC總表!$E$7*0.01)^(AQ$51-LCC總表!$E$9+1),0)</f>
        <v>0</v>
      </c>
      <c r="AR60" s="55">
        <f>IF(AR$51&gt;=LCC總表!$E$9,AR12/(1+LCC總表!$E$7*0.01)^(AR$51-LCC總表!$E$9+1),0)</f>
        <v>0</v>
      </c>
      <c r="AS60" s="55">
        <f>IF(AS$51&gt;=LCC總表!$E$9,AS12/(1+LCC總表!$E$7*0.01)^(AS$51-LCC總表!$E$9+1),0)</f>
        <v>0</v>
      </c>
      <c r="AT60" s="55">
        <f>IF(AT$51&gt;=LCC總表!$E$9,AT12/(1+LCC總表!$E$7*0.01)^(AT$51-LCC總表!$E$9+1),0)</f>
        <v>0</v>
      </c>
      <c r="AU60" s="55">
        <f>IF(AU$51&gt;=LCC總表!$E$9,AU12/(1+LCC總表!$E$7*0.01)^(AU$51-LCC總表!$E$9+1),0)</f>
        <v>0</v>
      </c>
      <c r="AV60" s="55">
        <f>IF(AV$51&gt;=LCC總表!$E$9,AV12/(1+LCC總表!$E$7*0.01)^(AV$51-LCC總表!$E$9+1),0)</f>
        <v>0</v>
      </c>
      <c r="AW60" s="55">
        <f>IF(AW$51&gt;=LCC總表!$E$9,AW12/(1+LCC總表!$E$7*0.01)^(AW$51-LCC總表!$E$9+1),0)</f>
        <v>0</v>
      </c>
      <c r="AX60" s="55">
        <f>IF(AX$51&gt;=LCC總表!$E$9,AX12/(1+LCC總表!$E$7*0.01)^(AX$51-LCC總表!$E$9+1),0)</f>
        <v>0</v>
      </c>
      <c r="AY60" s="55">
        <f>IF(AY$51&gt;=LCC總表!$E$9,AY12/(1+LCC總表!$E$7*0.01)^(AY$51-LCC總表!$E$9+1),0)</f>
        <v>0</v>
      </c>
      <c r="AZ60" s="55">
        <f>IF(AZ$51&gt;=LCC總表!$E$9,AZ12/(1+LCC總表!$E$7*0.01)^(AZ$51-LCC總表!$E$9+1),0)</f>
        <v>0</v>
      </c>
      <c r="BA60" s="55">
        <f>IF(BA$51&gt;=LCC總表!$E$9,BA12/(1+LCC總表!$E$7*0.01)^(BA$51-LCC總表!$E$9+1),0)</f>
        <v>0</v>
      </c>
      <c r="BB60" s="55">
        <f>IF(BB$51&gt;=LCC總表!$E$9,BB12/(1+LCC總表!$E$7*0.01)^(BB$51-LCC總表!$E$9+1),0)</f>
        <v>0</v>
      </c>
      <c r="BC60" s="55">
        <f>IF(BC$51&gt;=LCC總表!$E$9,BC12/(1+LCC總表!$E$7*0.01)^(BC$51-LCC總表!$E$9+1),0)</f>
        <v>0</v>
      </c>
      <c r="BD60" s="55">
        <f>IF(BD$51&gt;=LCC總表!$E$9,BD12/(1+LCC總表!$E$7*0.01)^(BD$51-LCC總表!$E$9+1),0)</f>
        <v>0</v>
      </c>
      <c r="BE60" s="55">
        <f>IF(BE$51&gt;=LCC總表!$E$9,BE12/(1+LCC總表!$E$7*0.01)^(BE$51-LCC總表!$E$9+1),0)</f>
        <v>0</v>
      </c>
      <c r="BF60" s="55">
        <f>IF(BF$51&gt;=LCC總表!$E$9,BF12/(1+LCC總表!$E$7*0.01)^(BF$51-LCC總表!$E$9+1),0)</f>
        <v>0</v>
      </c>
      <c r="BG60" s="55">
        <f>IF(BG$51&gt;=LCC總表!$E$9,BG12/(1+LCC總表!$E$7*0.01)^(BG$51-LCC總表!$E$9+1),0)</f>
        <v>0</v>
      </c>
      <c r="BH60" s="55">
        <f>IF(BH$51&gt;=LCC總表!$E$9,BH12/(1+LCC總表!$E$7*0.01)^(BH$51-LCC總表!$E$9+1),0)</f>
        <v>0</v>
      </c>
      <c r="BI60" s="55">
        <f>IF(BI$51&gt;=LCC總表!$E$9,BI12/(1+LCC總表!$E$7*0.01)^(BI$51-LCC總表!$E$9+1),0)</f>
        <v>0</v>
      </c>
      <c r="BJ60" s="55">
        <f>IF(BJ$51&gt;=LCC總表!$E$9,BJ12/(1+LCC總表!$E$7*0.01)^(BJ$51-LCC總表!$E$9+1),0)</f>
        <v>0</v>
      </c>
      <c r="BK60" s="55">
        <f>SUM(AN60:INDEX(AN60:BJ60,LCC總表!$E$6+LCC總表!$E$9-2018))</f>
        <v>0</v>
      </c>
    </row>
    <row r="61" spans="39:63">
      <c r="AM61" s="52" t="s">
        <v>106</v>
      </c>
      <c r="AN61" s="55">
        <f>IF(AN$51&gt;=LCC總表!$E$9,AN13/(1+LCC總表!$E$7*0.01)^(AN$51-LCC總表!$E$9+1),0)</f>
        <v>0</v>
      </c>
      <c r="AO61" s="55">
        <f>IF(AO$51&gt;=LCC總表!$E$9,AO13/(1+LCC總表!$E$7*0.01)^(AO$51-LCC總表!$E$9+1),0)</f>
        <v>0</v>
      </c>
      <c r="AP61" s="55">
        <f>IF(AP$51&gt;=LCC總表!$E$9,AP13/(1+LCC總表!$E$7*0.01)^(AP$51-LCC總表!$E$9+1),0)</f>
        <v>0</v>
      </c>
      <c r="AQ61" s="55">
        <f>IF(AQ$51&gt;=LCC總表!$E$9,AQ13/(1+LCC總表!$E$7*0.01)^(AQ$51-LCC總表!$E$9+1),0)</f>
        <v>0</v>
      </c>
      <c r="AR61" s="55">
        <f>IF(AR$51&gt;=LCC總表!$E$9,AR13/(1+LCC總表!$E$7*0.01)^(AR$51-LCC總表!$E$9+1),0)</f>
        <v>0</v>
      </c>
      <c r="AS61" s="55">
        <f>IF(AS$51&gt;=LCC總表!$E$9,AS13/(1+LCC總表!$E$7*0.01)^(AS$51-LCC總表!$E$9+1),0)</f>
        <v>0</v>
      </c>
      <c r="AT61" s="55">
        <f>IF(AT$51&gt;=LCC總表!$E$9,AT13/(1+LCC總表!$E$7*0.01)^(AT$51-LCC總表!$E$9+1),0)</f>
        <v>0</v>
      </c>
      <c r="AU61" s="55">
        <f>IF(AU$51&gt;=LCC總表!$E$9,AU13/(1+LCC總表!$E$7*0.01)^(AU$51-LCC總表!$E$9+1),0)</f>
        <v>0</v>
      </c>
      <c r="AV61" s="55">
        <f>IF(AV$51&gt;=LCC總表!$E$9,AV13/(1+LCC總表!$E$7*0.01)^(AV$51-LCC總表!$E$9+1),0)</f>
        <v>0</v>
      </c>
      <c r="AW61" s="55">
        <f>IF(AW$51&gt;=LCC總表!$E$9,AW13/(1+LCC總表!$E$7*0.01)^(AW$51-LCC總表!$E$9+1),0)</f>
        <v>0</v>
      </c>
      <c r="AX61" s="55">
        <f>IF(AX$51&gt;=LCC總表!$E$9,AX13/(1+LCC總表!$E$7*0.01)^(AX$51-LCC總表!$E$9+1),0)</f>
        <v>0</v>
      </c>
      <c r="AY61" s="55">
        <f>IF(AY$51&gt;=LCC總表!$E$9,AY13/(1+LCC總表!$E$7*0.01)^(AY$51-LCC總表!$E$9+1),0)</f>
        <v>0</v>
      </c>
      <c r="AZ61" s="55">
        <f>IF(AZ$51&gt;=LCC總表!$E$9,AZ13/(1+LCC總表!$E$7*0.01)^(AZ$51-LCC總表!$E$9+1),0)</f>
        <v>0</v>
      </c>
      <c r="BA61" s="55">
        <f>IF(BA$51&gt;=LCC總表!$E$9,BA13/(1+LCC總表!$E$7*0.01)^(BA$51-LCC總表!$E$9+1),0)</f>
        <v>0</v>
      </c>
      <c r="BB61" s="55">
        <f>IF(BB$51&gt;=LCC總表!$E$9,BB13/(1+LCC總表!$E$7*0.01)^(BB$51-LCC總表!$E$9+1),0)</f>
        <v>0</v>
      </c>
      <c r="BC61" s="55">
        <f>IF(BC$51&gt;=LCC總表!$E$9,BC13/(1+LCC總表!$E$7*0.01)^(BC$51-LCC總表!$E$9+1),0)</f>
        <v>0</v>
      </c>
      <c r="BD61" s="55">
        <f>IF(BD$51&gt;=LCC總表!$E$9,BD13/(1+LCC總表!$E$7*0.01)^(BD$51-LCC總表!$E$9+1),0)</f>
        <v>0</v>
      </c>
      <c r="BE61" s="55">
        <f>IF(BE$51&gt;=LCC總表!$E$9,BE13/(1+LCC總表!$E$7*0.01)^(BE$51-LCC總表!$E$9+1),0)</f>
        <v>0</v>
      </c>
      <c r="BF61" s="55">
        <f>IF(BF$51&gt;=LCC總表!$E$9,BF13/(1+LCC總表!$E$7*0.01)^(BF$51-LCC總表!$E$9+1),0)</f>
        <v>0</v>
      </c>
      <c r="BG61" s="55">
        <f>IF(BG$51&gt;=LCC總表!$E$9,BG13/(1+LCC總表!$E$7*0.01)^(BG$51-LCC總表!$E$9+1),0)</f>
        <v>0</v>
      </c>
      <c r="BH61" s="55">
        <f>IF(BH$51&gt;=LCC總表!$E$9,BH13/(1+LCC總表!$E$7*0.01)^(BH$51-LCC總表!$E$9+1),0)</f>
        <v>0</v>
      </c>
      <c r="BI61" s="55">
        <f>IF(BI$51&gt;=LCC總表!$E$9,BI13/(1+LCC總表!$E$7*0.01)^(BI$51-LCC總表!$E$9+1),0)</f>
        <v>0</v>
      </c>
      <c r="BJ61" s="55">
        <f>IF(BJ$51&gt;=LCC總表!$E$9,BJ13/(1+LCC總表!$E$7*0.01)^(BJ$51-LCC總表!$E$9+1),0)</f>
        <v>0</v>
      </c>
      <c r="BK61" s="55">
        <f>SUM(AN61:INDEX(AN61:BJ61,LCC總表!$E$6+LCC總表!$E$9-2018))</f>
        <v>0</v>
      </c>
    </row>
    <row r="63" spans="39:63">
      <c r="AM63" s="53" t="s">
        <v>52</v>
      </c>
      <c r="AN63" s="51">
        <v>2018</v>
      </c>
      <c r="AO63" s="51">
        <v>2019</v>
      </c>
      <c r="AP63" s="51">
        <v>2020</v>
      </c>
      <c r="AQ63" s="51">
        <v>2021</v>
      </c>
      <c r="AR63" s="51">
        <v>2022</v>
      </c>
      <c r="AS63" s="51">
        <v>2023</v>
      </c>
      <c r="AT63" s="51">
        <v>2024</v>
      </c>
      <c r="AU63" s="51">
        <v>2025</v>
      </c>
      <c r="AV63" s="51">
        <v>2026</v>
      </c>
      <c r="AW63" s="51">
        <v>2027</v>
      </c>
      <c r="AX63" s="51">
        <v>2028</v>
      </c>
      <c r="AY63" s="51">
        <v>2029</v>
      </c>
      <c r="AZ63" s="51">
        <v>2030</v>
      </c>
      <c r="BA63" s="51">
        <v>2031</v>
      </c>
      <c r="BB63" s="51">
        <v>2032</v>
      </c>
      <c r="BC63" s="51">
        <v>2033</v>
      </c>
      <c r="BD63" s="51">
        <v>2034</v>
      </c>
      <c r="BE63" s="51">
        <v>2035</v>
      </c>
      <c r="BF63" s="51">
        <v>2036</v>
      </c>
      <c r="BG63" s="51">
        <v>2037</v>
      </c>
      <c r="BH63" s="51">
        <v>2038</v>
      </c>
      <c r="BI63" s="51">
        <v>2039</v>
      </c>
      <c r="BJ63" s="51">
        <v>2040</v>
      </c>
      <c r="BK63" s="66" t="s">
        <v>159</v>
      </c>
    </row>
    <row r="64" spans="39:63">
      <c r="AM64" s="52" t="s">
        <v>97</v>
      </c>
      <c r="AN64" s="55">
        <f>IF($AN$63&gt;=LCC總表!$E$9,(((LCC總表!$E$27*(LCC總表!$E$29/100))*LCC總表!$E$30)),0)</f>
        <v>0</v>
      </c>
      <c r="AO64" s="55">
        <f>IF(AO$63&gt;=LCC總表!$E$9,AO16/(1+LCC總表!$E$7*0.01)^(AO$63-LCC總表!$E$9+1),0)</f>
        <v>98947.946048780504</v>
      </c>
      <c r="AP64" s="55">
        <f>IF(AP$63&gt;=LCC總表!$E$9,AP16/(1+LCC總表!$E$7*0.01)^(AP$63-LCC總表!$E$9+1),0)</f>
        <v>99994.23340467189</v>
      </c>
      <c r="AQ64" s="55">
        <f>IF(AQ$63&gt;=LCC總表!$E$9,AQ16/(1+LCC總表!$E$7*0.01)^(AQ$63-LCC總表!$E$9+1),0)</f>
        <v>99075.107022708136</v>
      </c>
      <c r="AR64" s="55">
        <f>IF(AR$63&gt;=LCC總表!$E$9,AR16/(1+LCC總表!$E$7*0.01)^(AR$63-LCC總表!$E$9+1),0)</f>
        <v>96652.323569552071</v>
      </c>
      <c r="AS64" s="55">
        <f>IF(AS$63&gt;=LCC總表!$E$9,AS16/(1+LCC總表!$E$7*0.01)^(AS$63-LCC總表!$E$9+1),0)</f>
        <v>95817.15381186342</v>
      </c>
      <c r="AT64" s="55">
        <f>IF(AT$63&gt;=LCC總表!$E$9,AT16/(1+LCC總表!$E$7*0.01)^(AT$63-LCC總表!$E$9+1),0)</f>
        <v>95220.801028189104</v>
      </c>
      <c r="AU64" s="55">
        <f>IF(AU$63&gt;=LCC總表!$E$9,AU16/(1+LCC總表!$E$7*0.01)^(AU$63-LCC總表!$E$9+1),0)</f>
        <v>93805.609321869008</v>
      </c>
      <c r="AV64" s="55">
        <f>IF(AV$63&gt;=LCC總表!$E$9,AV16/(1+LCC總表!$E$7*0.01)^(AV$63-LCC總表!$E$9+1),0)</f>
        <v>92193.612382492138</v>
      </c>
      <c r="AW64" s="55">
        <f>IF(AW$63&gt;=LCC總表!$E$9,AW16/(1+LCC總表!$E$7*0.01)^(AW$63-LCC總表!$E$9+1),0)</f>
        <v>91433.705755017247</v>
      </c>
      <c r="AX64" s="55">
        <f>IF(AX$63&gt;=LCC總表!$E$9,AX16/(1+LCC總表!$E$7*0.01)^(AX$63-LCC總表!$E$9+1),0)</f>
        <v>89738.381267835779</v>
      </c>
      <c r="AY64" s="55">
        <f>IF(AY$63&gt;=LCC總表!$E$9,AY16/(1+LCC總表!$E$7*0.01)^(AY$63-LCC總表!$E$9+1),0)</f>
        <v>96281.365557000885</v>
      </c>
      <c r="AZ64" s="55">
        <f>IF(AZ$63&gt;=LCC總表!$E$9,AZ16/(1+LCC總表!$E$7*0.01)^(AZ$63-LCC總表!$E$9+1),0)</f>
        <v>94092.338239119359</v>
      </c>
      <c r="BA64" s="55">
        <f>IF(BA$63&gt;=LCC總表!$E$9,BA16/(1+LCC總表!$E$7*0.01)^(BA$63-LCC總表!$E$9+1),0)</f>
        <v>93320.092860868113</v>
      </c>
      <c r="BB64" s="55">
        <f>IF(BB$63&gt;=LCC總表!$E$9,BB16/(1+LCC總表!$E$7*0.01)^(BB$63-LCC總表!$E$9+1),0)</f>
        <v>91567.486839527817</v>
      </c>
      <c r="BC64" s="55">
        <f>IF(BC$63&gt;=LCC總表!$E$9,BC16/(1+LCC總表!$E$7*0.01)^(BC$63-LCC總表!$E$9+1),0)</f>
        <v>89441.014643089278</v>
      </c>
      <c r="BD64" s="55">
        <f>IF(BD$63&gt;=LCC總表!$E$9,BD16/(1+LCC總表!$E$7*0.01)^(BD$63-LCC總表!$E$9+1),0)</f>
        <v>87715.422283722175</v>
      </c>
      <c r="BE64" s="55">
        <f>IF(BE$63&gt;=LCC總表!$E$9,BE16/(1+LCC總表!$E$7*0.01)^(BE$63-LCC總表!$E$9+1),0)</f>
        <v>85851.354254673686</v>
      </c>
      <c r="BF64" s="55">
        <f>IF(BF$63&gt;=LCC總表!$E$9,BF16/(1+LCC總表!$E$7*0.01)^(BF$63-LCC總表!$E$9+1),0)</f>
        <v>84376.702434160616</v>
      </c>
      <c r="BG64" s="55">
        <f>IF(BG$63&gt;=LCC總表!$E$9,BG16/(1+LCC總表!$E$7*0.01)^(BG$63-LCC總表!$E$9+1),0)</f>
        <v>82268.528170312507</v>
      </c>
      <c r="BH64" s="55">
        <f>IF(BH$63&gt;=LCC總表!$E$9,BH16/(1+LCC總表!$E$7*0.01)^(BH$63-LCC總表!$E$9+1),0)</f>
        <v>80617.856253153252</v>
      </c>
      <c r="BI64" s="55">
        <f>IF(BI$63&gt;=LCC總表!$E$9,BI16/(1+LCC總表!$E$7*0.01)^(BI$63-LCC總表!$E$9+1),0)</f>
        <v>78848.227982751763</v>
      </c>
      <c r="BJ64" s="55">
        <f>IF(BJ$63&gt;=LCC總表!$E$9,BJ16/(1+LCC總表!$E$7*0.01)^(BJ$63-LCC總表!$E$9+1),0)</f>
        <v>77276.941951334811</v>
      </c>
      <c r="BK64" s="55">
        <f>SUM(AN64:INDEX(AN64:BJ64,LCC總表!$E$6+LCC總表!$E$9-2018))</f>
        <v>771706.78659012623</v>
      </c>
    </row>
    <row r="65" spans="39:63">
      <c r="AM65" s="52" t="s">
        <v>98</v>
      </c>
      <c r="AN65" s="55">
        <f>IF($AN$63&gt;=LCC總表!$E$9,(((LCC總表!$G$27*(LCC總表!$G$29/100))*LCC總表!$G$30)),0)</f>
        <v>0</v>
      </c>
      <c r="AO65" s="55">
        <f>IF(AO$63&gt;=LCC總表!$E$9,AO17/(1+LCC總表!$E$7*0.01)^(AO$63-LCC總表!$E$9+1),0)</f>
        <v>75955.892195121953</v>
      </c>
      <c r="AP65" s="55">
        <f>IF(AP$63&gt;=LCC總表!$E$9,AP17/(1+LCC總表!$E$7*0.01)^(AP$63-LCC總表!$E$9+1),0)</f>
        <v>76759.058837611199</v>
      </c>
      <c r="AQ65" s="55">
        <f>IF(AQ$63&gt;=LCC總表!$E$9,AQ17/(1+LCC總表!$E$7*0.01)^(AQ$63-LCC總表!$E$9+1),0)</f>
        <v>76053.505390875536</v>
      </c>
      <c r="AR65" s="55">
        <f>IF(AR$63&gt;=LCC總表!$E$9,AR17/(1+LCC總表!$E$7*0.01)^(AR$63-LCC總表!$E$9+1),0)</f>
        <v>74193.692366668605</v>
      </c>
      <c r="AS65" s="55">
        <f>IF(AS$63&gt;=LCC總表!$E$9,AS17/(1+LCC總表!$E$7*0.01)^(AS$63-LCC總表!$E$9+1),0)</f>
        <v>73552.586951015488</v>
      </c>
      <c r="AT65" s="55">
        <f>IF(AT$63&gt;=LCC總表!$E$9,AT17/(1+LCC總表!$E$7*0.01)^(AT$63-LCC總表!$E$9+1),0)</f>
        <v>73094.805768526901</v>
      </c>
      <c r="AU65" s="55">
        <f>IF(AU$63&gt;=LCC總表!$E$9,AU17/(1+LCC總表!$E$7*0.01)^(AU$63-LCC總表!$E$9+1),0)</f>
        <v>72008.45528857164</v>
      </c>
      <c r="AV65" s="55">
        <f>IF(AV$63&gt;=LCC總表!$E$9,AV17/(1+LCC總表!$E$7*0.01)^(AV$63-LCC總表!$E$9+1),0)</f>
        <v>70771.030252120516</v>
      </c>
      <c r="AW65" s="55">
        <f>IF(AW$63&gt;=LCC總表!$E$9,AW17/(1+LCC總表!$E$7*0.01)^(AW$63-LCC總表!$E$9+1),0)</f>
        <v>70187.699438498705</v>
      </c>
      <c r="AX65" s="55">
        <f>IF(AX$63&gt;=LCC總表!$E$9,AX17/(1+LCC總表!$E$7*0.01)^(AX$63-LCC總表!$E$9+1),0)</f>
        <v>68886.309271990132</v>
      </c>
      <c r="AY65" s="55">
        <f>IF(AY$63&gt;=LCC總表!$E$9,AY17/(1+LCC總表!$E$7*0.01)^(AY$63-LCC總表!$E$9+1),0)</f>
        <v>73908.932066577443</v>
      </c>
      <c r="AZ65" s="55">
        <f>IF(AZ$63&gt;=LCC總表!$E$9,AZ17/(1+LCC總表!$E$7*0.01)^(AZ$63-LCC總表!$E$9+1),0)</f>
        <v>72228.558399323985</v>
      </c>
      <c r="BA65" s="55">
        <f>IF(BA$63&gt;=LCC總表!$E$9,BA17/(1+LCC總表!$E$7*0.01)^(BA$63-LCC總表!$E$9+1),0)</f>
        <v>71635.755930541913</v>
      </c>
      <c r="BB65" s="55">
        <f>IF(BB$63&gt;=LCC總表!$E$9,BB17/(1+LCC總表!$E$7*0.01)^(BB$63-LCC總表!$E$9+1),0)</f>
        <v>70290.394461878182</v>
      </c>
      <c r="BC65" s="55">
        <f>IF(BC$63&gt;=LCC總表!$E$9,BC17/(1+LCC總表!$E$7*0.01)^(BC$63-LCC總表!$E$9+1),0)</f>
        <v>68658.040286188872</v>
      </c>
      <c r="BD65" s="55">
        <f>IF(BD$63&gt;=LCC總表!$E$9,BD17/(1+LCC總表!$E$7*0.01)^(BD$63-LCC總表!$E$9+1),0)</f>
        <v>67333.415446010797</v>
      </c>
      <c r="BE65" s="55">
        <f>IF(BE$63&gt;=LCC總表!$E$9,BE17/(1+LCC總表!$E$7*0.01)^(BE$63-LCC總表!$E$9+1),0)</f>
        <v>65902.491855247426</v>
      </c>
      <c r="BF65" s="55">
        <f>IF(BF$63&gt;=LCC總表!$E$9,BF17/(1+LCC總表!$E$7*0.01)^(BF$63-LCC總表!$E$9+1),0)</f>
        <v>64770.497719168932</v>
      </c>
      <c r="BG65" s="55">
        <f>IF(BG$63&gt;=LCC總表!$E$9,BG17/(1+LCC總表!$E$7*0.01)^(BG$63-LCC總表!$E$9+1),0)</f>
        <v>63152.189674306275</v>
      </c>
      <c r="BH65" s="55">
        <f>IF(BH$63&gt;=LCC總表!$E$9,BH17/(1+LCC總表!$E$7*0.01)^(BH$63-LCC總表!$E$9+1),0)</f>
        <v>61885.076376901867</v>
      </c>
      <c r="BI65" s="55">
        <f>IF(BI$63&gt;=LCC總表!$E$9,BI17/(1+LCC總表!$E$7*0.01)^(BI$63-LCC總表!$E$9+1),0)</f>
        <v>60526.648036552171</v>
      </c>
      <c r="BJ65" s="55">
        <f>IF(BJ$63&gt;=LCC總表!$E$9,BJ17/(1+LCC總表!$E$7*0.01)^(BJ$63-LCC總表!$E$9+1),0)</f>
        <v>59320.4741120205</v>
      </c>
      <c r="BK65" s="55">
        <f>SUM(AN65:INDEX(AN65:BJ65,LCC總表!$E$6+LCC總表!$E$9-2018))</f>
        <v>592389.02705051191</v>
      </c>
    </row>
    <row r="66" spans="39:63">
      <c r="AM66" s="52" t="s">
        <v>99</v>
      </c>
      <c r="AN66" s="55">
        <f>IF($AN$63&gt;=LCC總表!$E$9,(((LCC總表!$I$27*(LCC總表!$I$29/100))*LCC總表!$I$30)),0)</f>
        <v>0</v>
      </c>
      <c r="AO66" s="55">
        <f>IF(AO$63&gt;=LCC總表!$E$9,AO18/(1+LCC總表!$E$7*0.01)^(AO$63-LCC總表!$E$9+1),0)</f>
        <v>141058.03902439025</v>
      </c>
      <c r="AP66" s="55">
        <f>IF(AP$63&gt;=LCC總表!$E$9,AP18/(1+LCC總表!$E$7*0.01)^(AP$63-LCC總表!$E$9+1),0)</f>
        <v>142549.60351432211</v>
      </c>
      <c r="AQ66" s="55">
        <f>IF(AQ$63&gt;=LCC總表!$E$9,AQ18/(1+LCC總表!$E$7*0.01)^(AQ$63-LCC總表!$E$9+1),0)</f>
        <v>141239.31694211299</v>
      </c>
      <c r="AR66" s="55">
        <f>IF(AR$63&gt;=LCC總表!$E$9,AR18/(1+LCC總表!$E$7*0.01)^(AR$63-LCC總表!$E$9+1),0)</f>
        <v>137785.44956507362</v>
      </c>
      <c r="AS66" s="55">
        <f>IF(AS$63&gt;=LCC總表!$E$9,AS18/(1+LCC總表!$E$7*0.01)^(AS$63-LCC總表!$E$9+1),0)</f>
        <v>136594.84972974245</v>
      </c>
      <c r="AT66" s="55">
        <f>IF(AT$63&gt;=LCC總表!$E$9,AT18/(1+LCC總表!$E$7*0.01)^(AT$63-LCC總表!$E$9+1),0)</f>
        <v>135744.70217649901</v>
      </c>
      <c r="AU66" s="55">
        <f>IF(AU$63&gt;=LCC總表!$E$9,AU18/(1+LCC總表!$E$7*0.01)^(AU$63-LCC總表!$E$9+1),0)</f>
        <v>133727.2356710429</v>
      </c>
      <c r="AV66" s="55">
        <f>IF(AV$63&gt;=LCC總表!$E$9,AV18/(1+LCC總表!$E$7*0.01)^(AV$63-LCC總表!$E$9+1),0)</f>
        <v>131429.20790733644</v>
      </c>
      <c r="AW66" s="55">
        <f>IF(AW$63&gt;=LCC總表!$E$9,AW18/(1+LCC總表!$E$7*0.01)^(AW$63-LCC總表!$E$9+1),0)</f>
        <v>130345.90155289831</v>
      </c>
      <c r="AX66" s="55">
        <f>IF(AX$63&gt;=LCC總表!$E$9,AX18/(1+LCC總表!$E$7*0.01)^(AX$63-LCC總表!$E$9+1),0)</f>
        <v>127929.08385004321</v>
      </c>
      <c r="AY66" s="55">
        <f>IF(AY$63&gt;=LCC總表!$E$9,AY18/(1+LCC總表!$E$7*0.01)^(AY$63-LCC總表!$E$9+1),0)</f>
        <v>137256.61989351016</v>
      </c>
      <c r="AZ66" s="55">
        <f>IF(AZ$63&gt;=LCC總表!$E$9,AZ18/(1+LCC總表!$E$7*0.01)^(AZ$63-LCC總表!$E$9+1),0)</f>
        <v>134135.9901769624</v>
      </c>
      <c r="BA66" s="55">
        <f>IF(BA$63&gt;=LCC總表!$E$9,BA18/(1+LCC總表!$E$7*0.01)^(BA$63-LCC總表!$E$9+1),0)</f>
        <v>133035.09396787823</v>
      </c>
      <c r="BB66" s="55">
        <f>IF(BB$63&gt;=LCC總表!$E$9,BB18/(1+LCC總表!$E$7*0.01)^(BB$63-LCC總表!$E$9+1),0)</f>
        <v>130536.61695623086</v>
      </c>
      <c r="BC66" s="55">
        <f>IF(BC$63&gt;=LCC總表!$E$9,BC18/(1+LCC總表!$E$7*0.01)^(BC$63-LCC總表!$E$9+1),0)</f>
        <v>127505.16445976739</v>
      </c>
      <c r="BD66" s="55">
        <f>IF(BD$63&gt;=LCC總表!$E$9,BD18/(1+LCC總表!$E$7*0.01)^(BD$63-LCC總表!$E$9+1),0)</f>
        <v>125045.19753687849</v>
      </c>
      <c r="BE66" s="55">
        <f>IF(BE$63&gt;=LCC總表!$E$9,BE18/(1+LCC總表!$E$7*0.01)^(BE$63-LCC總表!$E$9+1),0)</f>
        <v>122387.82271218016</v>
      </c>
      <c r="BF66" s="55">
        <f>IF(BF$63&gt;=LCC總表!$E$9,BF18/(1+LCC總表!$E$7*0.01)^(BF$63-LCC總表!$E$9+1),0)</f>
        <v>120285.59116163566</v>
      </c>
      <c r="BG66" s="55">
        <f>IF(BG$63&gt;=LCC總表!$E$9,BG18/(1+LCC總表!$E$7*0.01)^(BG$63-LCC總表!$E$9+1),0)</f>
        <v>117280.22379975532</v>
      </c>
      <c r="BH66" s="55">
        <f>IF(BH$63&gt;=LCC總表!$E$9,BH18/(1+LCC總表!$E$7*0.01)^(BH$63-LCC總表!$E$9+1),0)</f>
        <v>114927.06182919427</v>
      </c>
      <c r="BI66" s="55">
        <f>IF(BI$63&gt;=LCC總表!$E$9,BI18/(1+LCC總表!$E$7*0.01)^(BI$63-LCC總表!$E$9+1),0)</f>
        <v>112404.31826964735</v>
      </c>
      <c r="BJ66" s="55">
        <f>IF(BJ$63&gt;=LCC總表!$E$9,BJ18/(1+LCC總表!$E$7*0.01)^(BJ$63-LCC總表!$E$9+1),0)</f>
        <v>110164.32709055988</v>
      </c>
      <c r="BK66" s="55">
        <f>SUM(AN66:INDEX(AN66:BJ66,LCC總表!$E$6+LCC總表!$E$9-2018))</f>
        <v>1100128.4045305199</v>
      </c>
    </row>
    <row r="67" spans="39:63">
      <c r="AM67" s="52" t="s">
        <v>100</v>
      </c>
      <c r="AN67" s="55">
        <f>IF($AN$63&gt;=LCC總表!$E$9,(((LCC總表!$K$27*(LCC總表!$K$29/100))*LCC總表!$K$30)),0)</f>
        <v>0</v>
      </c>
      <c r="AO67" s="55">
        <f>IF(AO$63&gt;=LCC總表!$E$9,AO19/(1+LCC總表!$E$7*0.01)^(AO$63-LCC總表!$E$9+1),0)</f>
        <v>80143.730575609763</v>
      </c>
      <c r="AP67" s="55">
        <f>IF(AP$63&gt;=LCC總表!$E$9,AP19/(1+LCC總表!$E$7*0.01)^(AP$63-LCC總表!$E$9+1),0)</f>
        <v>80991.17991946869</v>
      </c>
      <c r="AQ67" s="55">
        <f>IF(AQ$63&gt;=LCC總表!$E$9,AQ19/(1+LCC總表!$E$7*0.01)^(AQ$63-LCC總表!$E$9+1),0)</f>
        <v>80246.725688102175</v>
      </c>
      <c r="AR67" s="55">
        <f>IF(AR$63&gt;=LCC總表!$E$9,AR19/(1+LCC總表!$E$7*0.01)^(AR$63-LCC總表!$E$9+1),0)</f>
        <v>78284.371621479513</v>
      </c>
      <c r="AS67" s="55">
        <f>IF(AS$63&gt;=LCC總表!$E$9,AS19/(1+LCC總表!$E$7*0.01)^(AS$63-LCC總表!$E$9+1),0)</f>
        <v>77607.918772098492</v>
      </c>
      <c r="AT67" s="55">
        <f>IF(AT$63&gt;=LCC總表!$E$9,AT19/(1+LCC總表!$E$7*0.01)^(AT$63-LCC總表!$E$9+1),0)</f>
        <v>77124.897762251087</v>
      </c>
      <c r="AU67" s="55">
        <f>IF(AU$63&gt;=LCC總表!$E$9,AU19/(1+LCC總表!$E$7*0.01)^(AU$63-LCC總表!$E$9+1),0)</f>
        <v>75978.651201779372</v>
      </c>
      <c r="AV67" s="55">
        <f>IF(AV$63&gt;=LCC總表!$E$9,AV19/(1+LCC總表!$E$7*0.01)^(AV$63-LCC總表!$E$9+1),0)</f>
        <v>74673.000568723917</v>
      </c>
      <c r="AW67" s="55">
        <f>IF(AW$63&gt;=LCC總表!$E$9,AW19/(1+LCC總表!$E$7*0.01)^(AW$63-LCC總表!$E$9+1),0)</f>
        <v>74057.507731864593</v>
      </c>
      <c r="AX67" s="55">
        <f>IF(AX$63&gt;=LCC總表!$E$9,AX19/(1+LCC總表!$E$7*0.01)^(AX$63-LCC總表!$E$9+1),0)</f>
        <v>72684.36524266201</v>
      </c>
      <c r="AY67" s="55">
        <f>IF(AY$63&gt;=LCC總表!$E$9,AY19/(1+LCC總表!$E$7*0.01)^(AY$63-LCC總表!$E$9+1),0)</f>
        <v>77983.911023761699</v>
      </c>
      <c r="AZ67" s="55">
        <f>IF(AZ$63&gt;=LCC總表!$E$9,AZ19/(1+LCC總表!$E$7*0.01)^(AZ$63-LCC總表!$E$9+1),0)</f>
        <v>76210.889727286718</v>
      </c>
      <c r="BA67" s="55">
        <f>IF(BA$63&gt;=LCC總表!$E$9,BA19/(1+LCC總表!$E$7*0.01)^(BA$63-LCC總表!$E$9+1),0)</f>
        <v>75585.403014279887</v>
      </c>
      <c r="BB67" s="55">
        <f>IF(BB$63&gt;=LCC總表!$E$9,BB19/(1+LCC總表!$E$7*0.01)^(BB$63-LCC總表!$E$9+1),0)</f>
        <v>74165.864859235793</v>
      </c>
      <c r="BC67" s="55">
        <f>IF(BC$63&gt;=LCC總表!$E$9,BC19/(1+LCC總表!$E$7*0.01)^(BC$63-LCC總表!$E$9+1),0)</f>
        <v>72443.510615481442</v>
      </c>
      <c r="BD67" s="55">
        <f>IF(BD$63&gt;=LCC總表!$E$9,BD19/(1+LCC總表!$E$7*0.01)^(BD$63-LCC總表!$E$9+1),0)</f>
        <v>71045.85240573679</v>
      </c>
      <c r="BE67" s="55">
        <f>IF(BE$63&gt;=LCC總表!$E$9,BE19/(1+LCC總表!$E$7*0.01)^(BE$63-LCC總表!$E$9+1),0)</f>
        <v>69536.03464942865</v>
      </c>
      <c r="BF67" s="55">
        <f>IF(BF$63&gt;=LCC總表!$E$9,BF19/(1+LCC總表!$E$7*0.01)^(BF$63-LCC總表!$E$9+1),0)</f>
        <v>68341.62786368528</v>
      </c>
      <c r="BG67" s="55">
        <f>IF(BG$63&gt;=LCC總表!$E$9,BG19/(1+LCC總表!$E$7*0.01)^(BG$63-LCC總表!$E$9+1),0)</f>
        <v>66634.094186078844</v>
      </c>
      <c r="BH67" s="55">
        <f>IF(BH$63&gt;=LCC總表!$E$9,BH19/(1+LCC總表!$E$7*0.01)^(BH$63-LCC總表!$E$9+1),0)</f>
        <v>65297.118425790504</v>
      </c>
      <c r="BI67" s="55">
        <f>IF(BI$63&gt;=LCC總表!$E$9,BI19/(1+LCC總表!$E$7*0.01)^(BI$63-LCC總表!$E$9+1),0)</f>
        <v>63863.792955324236</v>
      </c>
      <c r="BJ67" s="55">
        <f>IF(BJ$63&gt;=LCC總表!$E$9,BJ19/(1+LCC總表!$E$7*0.01)^(BJ$63-LCC總表!$E$9+1),0)</f>
        <v>62591.116468467037</v>
      </c>
      <c r="BK67" s="55">
        <f>SUM(AN67:INDEX(AN67:BJ67,LCC總表!$E$6+LCC總表!$E$9-2018))</f>
        <v>625050.47610951297</v>
      </c>
    </row>
    <row r="68" spans="39:63">
      <c r="AM68" s="52" t="s">
        <v>101</v>
      </c>
      <c r="AN68" s="55">
        <f>IF($AN$63&gt;=LCC總表!$E$9,(((LCC總表!$G$27*(LCC總表!$G$29/100))*LCC總表!$G$30)),0)</f>
        <v>0</v>
      </c>
      <c r="AO68" s="55">
        <f>IF(AO$63&gt;=LCC總表!$E$9,AO20/(1+LCC總表!$E$7*0.01)^(AO$63-LCC總表!$E$9+1),0)</f>
        <v>393499.08292682929</v>
      </c>
      <c r="AP68" s="55">
        <f>IF(AP$63&gt;=LCC總表!$E$9,AP20/(1+LCC總表!$E$7*0.01)^(AP$63-LCC總表!$E$9+1),0)</f>
        <v>397659.98905436252</v>
      </c>
      <c r="AQ68" s="55">
        <f>IF(AQ$63&gt;=LCC總表!$E$9,AQ20/(1+LCC總表!$E$7*0.01)^(AQ$63-LCC總表!$E$9+1),0)</f>
        <v>394004.7804033584</v>
      </c>
      <c r="AR68" s="55">
        <f>IF(AR$63&gt;=LCC總表!$E$9,AR20/(1+LCC總表!$E$7*0.01)^(AR$63-LCC總表!$E$9+1),0)</f>
        <v>384369.78437749646</v>
      </c>
      <c r="AS68" s="55">
        <f>IF(AS$63&gt;=LCC總表!$E$9,AS20/(1+LCC總表!$E$7*0.01)^(AS$63-LCC總表!$E$9+1),0)</f>
        <v>381048.45688297023</v>
      </c>
      <c r="AT68" s="55">
        <f>IF(AT$63&gt;=LCC總表!$E$9,AT20/(1+LCC總表!$E$7*0.01)^(AT$63-LCC總表!$E$9+1),0)</f>
        <v>378676.86370850436</v>
      </c>
      <c r="AU68" s="55">
        <f>IF(AU$63&gt;=LCC總表!$E$9,AU20/(1+LCC總表!$E$7*0.01)^(AU$63-LCC總表!$E$9+1),0)</f>
        <v>373048.88798146829</v>
      </c>
      <c r="AV68" s="55">
        <f>IF(AV$63&gt;=LCC總表!$E$9,AV20/(1+LCC總表!$E$7*0.01)^(AV$63-LCC總表!$E$9+1),0)</f>
        <v>366638.25145331898</v>
      </c>
      <c r="AW68" s="55">
        <f>IF(AW$63&gt;=LCC總表!$E$9,AW20/(1+LCC總表!$E$7*0.01)^(AW$63-LCC總表!$E$9+1),0)</f>
        <v>363616.23257407942</v>
      </c>
      <c r="AX68" s="55">
        <f>IF(AX$63&gt;=LCC總表!$E$9,AX20/(1+LCC總表!$E$7*0.01)^(AX$63-LCC總表!$E$9+1),0)</f>
        <v>356874.2166191407</v>
      </c>
      <c r="AY68" s="55">
        <f>IF(AY$63&gt;=LCC總表!$E$9,AY20/(1+LCC總表!$E$7*0.01)^(AY$63-LCC總表!$E$9+1),0)</f>
        <v>382894.54771446058</v>
      </c>
      <c r="AZ68" s="55">
        <f>IF(AZ$63&gt;=LCC總表!$E$9,AZ20/(1+LCC總表!$E$7*0.01)^(AZ$63-LCC總表!$E$9+1),0)</f>
        <v>374189.15991728992</v>
      </c>
      <c r="BA68" s="55">
        <f>IF(BA$63&gt;=LCC總表!$E$9,BA20/(1+LCC總表!$E$7*0.01)^(BA$63-LCC總表!$E$9+1),0)</f>
        <v>371118.07193344698</v>
      </c>
      <c r="BB68" s="55">
        <f>IF(BB$63&gt;=LCC總表!$E$9,BB20/(1+LCC總表!$E$7*0.01)^(BB$63-LCC總表!$E$9+1),0)</f>
        <v>364148.25709980249</v>
      </c>
      <c r="BC68" s="55">
        <f>IF(BC$63&gt;=LCC總表!$E$9,BC20/(1+LCC總表!$E$7*0.01)^(BC$63-LCC總表!$E$9+1),0)</f>
        <v>355691.64033733378</v>
      </c>
      <c r="BD68" s="55">
        <f>IF(BD$63&gt;=LCC總表!$E$9,BD20/(1+LCC總表!$E$7*0.01)^(BD$63-LCC總表!$E$9+1),0)</f>
        <v>348829.25422391458</v>
      </c>
      <c r="BE68" s="55">
        <f>IF(BE$63&gt;=LCC總表!$E$9,BE20/(1+LCC總表!$E$7*0.01)^(BE$63-LCC總表!$E$9+1),0)</f>
        <v>341416.17402129789</v>
      </c>
      <c r="BF68" s="55">
        <f>IF(BF$63&gt;=LCC總表!$E$9,BF20/(1+LCC總表!$E$7*0.01)^(BF$63-LCC總表!$E$9+1),0)</f>
        <v>335551.73557482217</v>
      </c>
      <c r="BG68" s="55">
        <f>IF(BG$63&gt;=LCC總表!$E$9,BG20/(1+LCC總表!$E$7*0.01)^(BG$63-LCC總表!$E$9+1),0)</f>
        <v>327167.88656531164</v>
      </c>
      <c r="BH68" s="55">
        <f>IF(BH$63&gt;=LCC總表!$E$9,BH20/(1+LCC總表!$E$7*0.01)^(BH$63-LCC總表!$E$9+1),0)</f>
        <v>320603.44625550444</v>
      </c>
      <c r="BI68" s="55">
        <f>IF(BI$63&gt;=LCC總表!$E$9,BI20/(1+LCC總表!$E$7*0.01)^(BI$63-LCC總表!$E$9+1),0)</f>
        <v>313565.93684443407</v>
      </c>
      <c r="BJ68" s="55">
        <f>IF(BJ$63&gt;=LCC總表!$E$9,BJ20/(1+LCC總表!$E$7*0.01)^(BJ$63-LCC總表!$E$9+1),0)</f>
        <v>307317.20064455888</v>
      </c>
      <c r="BK68" s="55">
        <f>SUM(AN68:INDEX(AN68:BJ68,LCC總表!$E$6+LCC總表!$E$9-2018))</f>
        <v>3068946.0967883086</v>
      </c>
    </row>
    <row r="69" spans="39:63">
      <c r="AM69" s="52" t="s">
        <v>102</v>
      </c>
      <c r="AN69" s="55">
        <f>IF($AN$63&gt;=LCC總表!$E$9,(((LCC總表!$O$27*(LCC總表!$O$29/100))*LCC總表!$O$30)),0)</f>
        <v>0</v>
      </c>
      <c r="AO69" s="55">
        <f>IF(AO$63&gt;=LCC總表!$E$9,AO21/(1+LCC總表!$E$7*0.01)^(AO$63-LCC總表!$E$9+1),0)</f>
        <v>0</v>
      </c>
      <c r="AP69" s="55">
        <f>IF(AP$63&gt;=LCC總表!$E$9,AP21/(1+LCC總表!$E$7*0.01)^(AP$63-LCC總表!$E$9+1),0)</f>
        <v>0</v>
      </c>
      <c r="AQ69" s="55">
        <f>IF(AQ$63&gt;=LCC總表!$E$9,AQ21/(1+LCC總表!$E$7*0.01)^(AQ$63-LCC總表!$E$9+1),0)</f>
        <v>0</v>
      </c>
      <c r="AR69" s="55">
        <f>IF(AR$63&gt;=LCC總表!$E$9,AR21/(1+LCC總表!$E$7*0.01)^(AR$63-LCC總表!$E$9+1),0)</f>
        <v>0</v>
      </c>
      <c r="AS69" s="55">
        <f>IF(AS$63&gt;=LCC總表!$E$9,AS21/(1+LCC總表!$E$7*0.01)^(AS$63-LCC總表!$E$9+1),0)</f>
        <v>0</v>
      </c>
      <c r="AT69" s="55">
        <f>IF(AT$63&gt;=LCC總表!$E$9,AT21/(1+LCC總表!$E$7*0.01)^(AT$63-LCC總表!$E$9+1),0)</f>
        <v>0</v>
      </c>
      <c r="AU69" s="55">
        <f>IF(AU$63&gt;=LCC總表!$E$9,AU21/(1+LCC總表!$E$7*0.01)^(AU$63-LCC總表!$E$9+1),0)</f>
        <v>0</v>
      </c>
      <c r="AV69" s="55">
        <f>IF(AV$63&gt;=LCC總表!$E$9,AV21/(1+LCC總表!$E$7*0.01)^(AV$63-LCC總表!$E$9+1),0)</f>
        <v>0</v>
      </c>
      <c r="AW69" s="55">
        <f>IF(AW$63&gt;=LCC總表!$E$9,AW21/(1+LCC總表!$E$7*0.01)^(AW$63-LCC總表!$E$9+1),0)</f>
        <v>0</v>
      </c>
      <c r="AX69" s="55">
        <f>IF(AX$63&gt;=LCC總表!$E$9,AX21/(1+LCC總表!$E$7*0.01)^(AX$63-LCC總表!$E$9+1),0)</f>
        <v>0</v>
      </c>
      <c r="AY69" s="55">
        <f>IF(AY$63&gt;=LCC總表!$E$9,AY21/(1+LCC總表!$E$7*0.01)^(AY$63-LCC總表!$E$9+1),0)</f>
        <v>0</v>
      </c>
      <c r="AZ69" s="55">
        <f>IF(AZ$63&gt;=LCC總表!$E$9,AZ21/(1+LCC總表!$E$7*0.01)^(AZ$63-LCC總表!$E$9+1),0)</f>
        <v>0</v>
      </c>
      <c r="BA69" s="55">
        <f>IF(BA$63&gt;=LCC總表!$E$9,BA21/(1+LCC總表!$E$7*0.01)^(BA$63-LCC總表!$E$9+1),0)</f>
        <v>0</v>
      </c>
      <c r="BB69" s="55">
        <f>IF(BB$63&gt;=LCC總表!$E$9,BB21/(1+LCC總表!$E$7*0.01)^(BB$63-LCC總表!$E$9+1),0)</f>
        <v>0</v>
      </c>
      <c r="BC69" s="55">
        <f>IF(BC$63&gt;=LCC總表!$E$9,BC21/(1+LCC總表!$E$7*0.01)^(BC$63-LCC總表!$E$9+1),0)</f>
        <v>0</v>
      </c>
      <c r="BD69" s="55">
        <f>IF(BD$63&gt;=LCC總表!$E$9,BD21/(1+LCC總表!$E$7*0.01)^(BD$63-LCC總表!$E$9+1),0)</f>
        <v>0</v>
      </c>
      <c r="BE69" s="55">
        <f>IF(BE$63&gt;=LCC總表!$E$9,BE21/(1+LCC總表!$E$7*0.01)^(BE$63-LCC總表!$E$9+1),0)</f>
        <v>0</v>
      </c>
      <c r="BF69" s="55">
        <f>IF(BF$63&gt;=LCC總表!$E$9,BF21/(1+LCC總表!$E$7*0.01)^(BF$63-LCC總表!$E$9+1),0)</f>
        <v>0</v>
      </c>
      <c r="BG69" s="55">
        <f>IF(BG$63&gt;=LCC總表!$E$9,BG21/(1+LCC總表!$E$7*0.01)^(BG$63-LCC總表!$E$9+1),0)</f>
        <v>0</v>
      </c>
      <c r="BH69" s="55">
        <f>IF(BH$63&gt;=LCC總表!$E$9,BH21/(1+LCC總表!$E$7*0.01)^(BH$63-LCC總表!$E$9+1),0)</f>
        <v>0</v>
      </c>
      <c r="BI69" s="55">
        <f>IF(BI$63&gt;=LCC總表!$E$9,BI21/(1+LCC總表!$E$7*0.01)^(BI$63-LCC總表!$E$9+1),0)</f>
        <v>0</v>
      </c>
      <c r="BJ69" s="55">
        <f>IF(BJ$63&gt;=LCC總表!$E$9,BJ21/(1+LCC總表!$E$7*0.01)^(BJ$63-LCC總表!$E$9+1),0)</f>
        <v>0</v>
      </c>
      <c r="BK69" s="55">
        <f>SUM(AN69:INDEX(AN69:BJ69,LCC總表!$E$6+LCC總表!$E$9-2018))</f>
        <v>0</v>
      </c>
    </row>
    <row r="70" spans="39:63">
      <c r="AM70" s="52" t="s">
        <v>103</v>
      </c>
      <c r="AN70" s="55">
        <f>IF($AN$63&gt;=LCC總表!$E$9,(((LCC總表!$Q$27*(LCC總表!$Q$29/100))*LCC總表!$Q$30)),0)</f>
        <v>0</v>
      </c>
      <c r="AO70" s="55">
        <f>IF(AO$63&gt;=LCC總表!$E$9,AO22/(1+LCC總表!$E$7*0.01)^(AO$63-LCC總表!$E$9+1),0)</f>
        <v>0</v>
      </c>
      <c r="AP70" s="55">
        <f>IF(AP$63&gt;=LCC總表!$E$9,AP22/(1+LCC總表!$E$7*0.01)^(AP$63-LCC總表!$E$9+1),0)</f>
        <v>0</v>
      </c>
      <c r="AQ70" s="55">
        <f>IF(AQ$63&gt;=LCC總表!$E$9,AQ22/(1+LCC總表!$E$7*0.01)^(AQ$63-LCC總表!$E$9+1),0)</f>
        <v>0</v>
      </c>
      <c r="AR70" s="55">
        <f>IF(AR$63&gt;=LCC總表!$E$9,AR22/(1+LCC總表!$E$7*0.01)^(AR$63-LCC總表!$E$9+1),0)</f>
        <v>0</v>
      </c>
      <c r="AS70" s="55">
        <f>IF(AS$63&gt;=LCC總表!$E$9,AS22/(1+LCC總表!$E$7*0.01)^(AS$63-LCC總表!$E$9+1),0)</f>
        <v>0</v>
      </c>
      <c r="AT70" s="55">
        <f>IF(AT$63&gt;=LCC總表!$E$9,AT22/(1+LCC總表!$E$7*0.01)^(AT$63-LCC總表!$E$9+1),0)</f>
        <v>0</v>
      </c>
      <c r="AU70" s="55">
        <f>IF(AU$63&gt;=LCC總表!$E$9,AU22/(1+LCC總表!$E$7*0.01)^(AU$63-LCC總表!$E$9+1),0)</f>
        <v>0</v>
      </c>
      <c r="AV70" s="55">
        <f>IF(AV$63&gt;=LCC總表!$E$9,AV22/(1+LCC總表!$E$7*0.01)^(AV$63-LCC總表!$E$9+1),0)</f>
        <v>0</v>
      </c>
      <c r="AW70" s="55">
        <f>IF(AW$63&gt;=LCC總表!$E$9,AW22/(1+LCC總表!$E$7*0.01)^(AW$63-LCC總表!$E$9+1),0)</f>
        <v>0</v>
      </c>
      <c r="AX70" s="55">
        <f>IF(AX$63&gt;=LCC總表!$E$9,AX22/(1+LCC總表!$E$7*0.01)^(AX$63-LCC總表!$E$9+1),0)</f>
        <v>0</v>
      </c>
      <c r="AY70" s="55">
        <f>IF(AY$63&gt;=LCC總表!$E$9,AY22/(1+LCC總表!$E$7*0.01)^(AY$63-LCC總表!$E$9+1),0)</f>
        <v>0</v>
      </c>
      <c r="AZ70" s="55">
        <f>IF(AZ$63&gt;=LCC總表!$E$9,AZ22/(1+LCC總表!$E$7*0.01)^(AZ$63-LCC總表!$E$9+1),0)</f>
        <v>0</v>
      </c>
      <c r="BA70" s="55">
        <f>IF(BA$63&gt;=LCC總表!$E$9,BA22/(1+LCC總表!$E$7*0.01)^(BA$63-LCC總表!$E$9+1),0)</f>
        <v>0</v>
      </c>
      <c r="BB70" s="55">
        <f>IF(BB$63&gt;=LCC總表!$E$9,BB22/(1+LCC總表!$E$7*0.01)^(BB$63-LCC總表!$E$9+1),0)</f>
        <v>0</v>
      </c>
      <c r="BC70" s="55">
        <f>IF(BC$63&gt;=LCC總表!$E$9,BC22/(1+LCC總表!$E$7*0.01)^(BC$63-LCC總表!$E$9+1),0)</f>
        <v>0</v>
      </c>
      <c r="BD70" s="55">
        <f>IF(BD$63&gt;=LCC總表!$E$9,BD22/(1+LCC總表!$E$7*0.01)^(BD$63-LCC總表!$E$9+1),0)</f>
        <v>0</v>
      </c>
      <c r="BE70" s="55">
        <f>IF(BE$63&gt;=LCC總表!$E$9,BE22/(1+LCC總表!$E$7*0.01)^(BE$63-LCC總表!$E$9+1),0)</f>
        <v>0</v>
      </c>
      <c r="BF70" s="55">
        <f>IF(BF$63&gt;=LCC總表!$E$9,BF22/(1+LCC總表!$E$7*0.01)^(BF$63-LCC總表!$E$9+1),0)</f>
        <v>0</v>
      </c>
      <c r="BG70" s="55">
        <f>IF(BG$63&gt;=LCC總表!$E$9,BG22/(1+LCC總表!$E$7*0.01)^(BG$63-LCC總表!$E$9+1),0)</f>
        <v>0</v>
      </c>
      <c r="BH70" s="55">
        <f>IF(BH$63&gt;=LCC總表!$E$9,BH22/(1+LCC總表!$E$7*0.01)^(BH$63-LCC總表!$E$9+1),0)</f>
        <v>0</v>
      </c>
      <c r="BI70" s="55">
        <f>IF(BI$63&gt;=LCC總表!$E$9,BI22/(1+LCC總表!$E$7*0.01)^(BI$63-LCC總表!$E$9+1),0)</f>
        <v>0</v>
      </c>
      <c r="BJ70" s="55">
        <f>IF(BJ$63&gt;=LCC總表!$E$9,BJ22/(1+LCC總表!$E$7*0.01)^(BJ$63-LCC總表!$E$9+1),0)</f>
        <v>0</v>
      </c>
      <c r="BK70" s="55">
        <f>SUM(AN70:INDEX(AN70:BJ70,LCC總表!$E$6+LCC總表!$E$9-2018))</f>
        <v>0</v>
      </c>
    </row>
    <row r="71" spans="39:63">
      <c r="AM71" s="52" t="s">
        <v>104</v>
      </c>
      <c r="AN71" s="55">
        <f>IF($AN$63&gt;=LCC總表!$E$9,(((LCC總表!$S$27*(LCC總表!$S$29/100))*LCC總表!$S$30)),0)</f>
        <v>0</v>
      </c>
      <c r="AO71" s="55">
        <f>IF(AO$63&gt;=LCC總表!$E$9,AO23/(1+LCC總表!$E$7*0.01)^(AO$63-LCC總表!$E$9+1),0)</f>
        <v>0</v>
      </c>
      <c r="AP71" s="55">
        <f>IF(AP$63&gt;=LCC總表!$E$9,AP23/(1+LCC總表!$E$7*0.01)^(AP$63-LCC總表!$E$9+1),0)</f>
        <v>0</v>
      </c>
      <c r="AQ71" s="55">
        <f>IF(AQ$63&gt;=LCC總表!$E$9,AQ23/(1+LCC總表!$E$7*0.01)^(AQ$63-LCC總表!$E$9+1),0)</f>
        <v>0</v>
      </c>
      <c r="AR71" s="55">
        <f>IF(AR$63&gt;=LCC總表!$E$9,AR23/(1+LCC總表!$E$7*0.01)^(AR$63-LCC總表!$E$9+1),0)</f>
        <v>0</v>
      </c>
      <c r="AS71" s="55">
        <f>IF(AS$63&gt;=LCC總表!$E$9,AS23/(1+LCC總表!$E$7*0.01)^(AS$63-LCC總表!$E$9+1),0)</f>
        <v>0</v>
      </c>
      <c r="AT71" s="55">
        <f>IF(AT$63&gt;=LCC總表!$E$9,AT23/(1+LCC總表!$E$7*0.01)^(AT$63-LCC總表!$E$9+1),0)</f>
        <v>0</v>
      </c>
      <c r="AU71" s="55">
        <f>IF(AU$63&gt;=LCC總表!$E$9,AU23/(1+LCC總表!$E$7*0.01)^(AU$63-LCC總表!$E$9+1),0)</f>
        <v>0</v>
      </c>
      <c r="AV71" s="55">
        <f>IF(AV$63&gt;=LCC總表!$E$9,AV23/(1+LCC總表!$E$7*0.01)^(AV$63-LCC總表!$E$9+1),0)</f>
        <v>0</v>
      </c>
      <c r="AW71" s="55">
        <f>IF(AW$63&gt;=LCC總表!$E$9,AW23/(1+LCC總表!$E$7*0.01)^(AW$63-LCC總表!$E$9+1),0)</f>
        <v>0</v>
      </c>
      <c r="AX71" s="55">
        <f>IF(AX$63&gt;=LCC總表!$E$9,AX23/(1+LCC總表!$E$7*0.01)^(AX$63-LCC總表!$E$9+1),0)</f>
        <v>0</v>
      </c>
      <c r="AY71" s="55">
        <f>IF(AY$63&gt;=LCC總表!$E$9,AY23/(1+LCC總表!$E$7*0.01)^(AY$63-LCC總表!$E$9+1),0)</f>
        <v>0</v>
      </c>
      <c r="AZ71" s="55">
        <f>IF(AZ$63&gt;=LCC總表!$E$9,AZ23/(1+LCC總表!$E$7*0.01)^(AZ$63-LCC總表!$E$9+1),0)</f>
        <v>0</v>
      </c>
      <c r="BA71" s="55">
        <f>IF(BA$63&gt;=LCC總表!$E$9,BA23/(1+LCC總表!$E$7*0.01)^(BA$63-LCC總表!$E$9+1),0)</f>
        <v>0</v>
      </c>
      <c r="BB71" s="55">
        <f>IF(BB$63&gt;=LCC總表!$E$9,BB23/(1+LCC總表!$E$7*0.01)^(BB$63-LCC總表!$E$9+1),0)</f>
        <v>0</v>
      </c>
      <c r="BC71" s="55">
        <f>IF(BC$63&gt;=LCC總表!$E$9,BC23/(1+LCC總表!$E$7*0.01)^(BC$63-LCC總表!$E$9+1),0)</f>
        <v>0</v>
      </c>
      <c r="BD71" s="55">
        <f>IF(BD$63&gt;=LCC總表!$E$9,BD23/(1+LCC總表!$E$7*0.01)^(BD$63-LCC總表!$E$9+1),0)</f>
        <v>0</v>
      </c>
      <c r="BE71" s="55">
        <f>IF(BE$63&gt;=LCC總表!$E$9,BE23/(1+LCC總表!$E$7*0.01)^(BE$63-LCC總表!$E$9+1),0)</f>
        <v>0</v>
      </c>
      <c r="BF71" s="55">
        <f>IF(BF$63&gt;=LCC總表!$E$9,BF23/(1+LCC總表!$E$7*0.01)^(BF$63-LCC總表!$E$9+1),0)</f>
        <v>0</v>
      </c>
      <c r="BG71" s="55">
        <f>IF(BG$63&gt;=LCC總表!$E$9,BG23/(1+LCC總表!$E$7*0.01)^(BG$63-LCC總表!$E$9+1),0)</f>
        <v>0</v>
      </c>
      <c r="BH71" s="55">
        <f>IF(BH$63&gt;=LCC總表!$E$9,BH23/(1+LCC總表!$E$7*0.01)^(BH$63-LCC總表!$E$9+1),0)</f>
        <v>0</v>
      </c>
      <c r="BI71" s="55">
        <f>IF(BI$63&gt;=LCC總表!$E$9,BI23/(1+LCC總表!$E$7*0.01)^(BI$63-LCC總表!$E$9+1),0)</f>
        <v>0</v>
      </c>
      <c r="BJ71" s="55">
        <f>IF(BJ$63&gt;=LCC總表!$E$9,BJ23/(1+LCC總表!$E$7*0.01)^(BJ$63-LCC總表!$E$9+1),0)</f>
        <v>0</v>
      </c>
      <c r="BK71" s="55">
        <f>SUM(AN71:INDEX(AN71:BJ71,LCC總表!$E$6+LCC總表!$E$9-2018))</f>
        <v>0</v>
      </c>
    </row>
    <row r="72" spans="39:63">
      <c r="AM72" s="52" t="s">
        <v>105</v>
      </c>
      <c r="AN72" s="55">
        <f>IF($AN$63&gt;=LCC總表!$E$9,(((LCC總表!$U$27*(LCC總表!$U$29/100))*LCC總表!$U$30)),0)</f>
        <v>0</v>
      </c>
      <c r="AO72" s="55">
        <f>IF(AO$63&gt;=LCC總表!$E$9,AO24/(1+LCC總表!$E$7*0.01)^(AO$63-LCC總表!$E$9+1),0)</f>
        <v>0</v>
      </c>
      <c r="AP72" s="55">
        <f>IF(AP$63&gt;=LCC總表!$E$9,AP24/(1+LCC總表!$E$7*0.01)^(AP$63-LCC總表!$E$9+1),0)</f>
        <v>0</v>
      </c>
      <c r="AQ72" s="55">
        <f>IF(AQ$63&gt;=LCC總表!$E$9,AQ24/(1+LCC總表!$E$7*0.01)^(AQ$63-LCC總表!$E$9+1),0)</f>
        <v>0</v>
      </c>
      <c r="AR72" s="55">
        <f>IF(AR$63&gt;=LCC總表!$E$9,AR24/(1+LCC總表!$E$7*0.01)^(AR$63-LCC總表!$E$9+1),0)</f>
        <v>0</v>
      </c>
      <c r="AS72" s="55">
        <f>IF(AS$63&gt;=LCC總表!$E$9,AS24/(1+LCC總表!$E$7*0.01)^(AS$63-LCC總表!$E$9+1),0)</f>
        <v>0</v>
      </c>
      <c r="AT72" s="55">
        <f>IF(AT$63&gt;=LCC總表!$E$9,AT24/(1+LCC總表!$E$7*0.01)^(AT$63-LCC總表!$E$9+1),0)</f>
        <v>0</v>
      </c>
      <c r="AU72" s="55">
        <f>IF(AU$63&gt;=LCC總表!$E$9,AU24/(1+LCC總表!$E$7*0.01)^(AU$63-LCC總表!$E$9+1),0)</f>
        <v>0</v>
      </c>
      <c r="AV72" s="55">
        <f>IF(AV$63&gt;=LCC總表!$E$9,AV24/(1+LCC總表!$E$7*0.01)^(AV$63-LCC總表!$E$9+1),0)</f>
        <v>0</v>
      </c>
      <c r="AW72" s="55">
        <f>IF(AW$63&gt;=LCC總表!$E$9,AW24/(1+LCC總表!$E$7*0.01)^(AW$63-LCC總表!$E$9+1),0)</f>
        <v>0</v>
      </c>
      <c r="AX72" s="55">
        <f>IF(AX$63&gt;=LCC總表!$E$9,AX24/(1+LCC總表!$E$7*0.01)^(AX$63-LCC總表!$E$9+1),0)</f>
        <v>0</v>
      </c>
      <c r="AY72" s="55">
        <f>IF(AY$63&gt;=LCC總表!$E$9,AY24/(1+LCC總表!$E$7*0.01)^(AY$63-LCC總表!$E$9+1),0)</f>
        <v>0</v>
      </c>
      <c r="AZ72" s="55">
        <f>IF(AZ$63&gt;=LCC總表!$E$9,AZ24/(1+LCC總表!$E$7*0.01)^(AZ$63-LCC總表!$E$9+1),0)</f>
        <v>0</v>
      </c>
      <c r="BA72" s="55">
        <f>IF(BA$63&gt;=LCC總表!$E$9,BA24/(1+LCC總表!$E$7*0.01)^(BA$63-LCC總表!$E$9+1),0)</f>
        <v>0</v>
      </c>
      <c r="BB72" s="55">
        <f>IF(BB$63&gt;=LCC總表!$E$9,BB24/(1+LCC總表!$E$7*0.01)^(BB$63-LCC總表!$E$9+1),0)</f>
        <v>0</v>
      </c>
      <c r="BC72" s="55">
        <f>IF(BC$63&gt;=LCC總表!$E$9,BC24/(1+LCC總表!$E$7*0.01)^(BC$63-LCC總表!$E$9+1),0)</f>
        <v>0</v>
      </c>
      <c r="BD72" s="55">
        <f>IF(BD$63&gt;=LCC總表!$E$9,BD24/(1+LCC總表!$E$7*0.01)^(BD$63-LCC總表!$E$9+1),0)</f>
        <v>0</v>
      </c>
      <c r="BE72" s="55">
        <f>IF(BE$63&gt;=LCC總表!$E$9,BE24/(1+LCC總表!$E$7*0.01)^(BE$63-LCC總表!$E$9+1),0)</f>
        <v>0</v>
      </c>
      <c r="BF72" s="55">
        <f>IF(BF$63&gt;=LCC總表!$E$9,BF24/(1+LCC總表!$E$7*0.01)^(BF$63-LCC總表!$E$9+1),0)</f>
        <v>0</v>
      </c>
      <c r="BG72" s="55">
        <f>IF(BG$63&gt;=LCC總表!$E$9,BG24/(1+LCC總表!$E$7*0.01)^(BG$63-LCC總表!$E$9+1),0)</f>
        <v>0</v>
      </c>
      <c r="BH72" s="55">
        <f>IF(BH$63&gt;=LCC總表!$E$9,BH24/(1+LCC總表!$E$7*0.01)^(BH$63-LCC總表!$E$9+1),0)</f>
        <v>0</v>
      </c>
      <c r="BI72" s="55">
        <f>IF(BI$63&gt;=LCC總表!$E$9,BI24/(1+LCC總表!$E$7*0.01)^(BI$63-LCC總表!$E$9+1),0)</f>
        <v>0</v>
      </c>
      <c r="BJ72" s="55">
        <f>IF(BJ$63&gt;=LCC總表!$E$9,BJ24/(1+LCC總表!$E$7*0.01)^(BJ$63-LCC總表!$E$9+1),0)</f>
        <v>0</v>
      </c>
      <c r="BK72" s="55">
        <f>SUM(AN72:INDEX(AN72:BJ72,LCC總表!$E$6+LCC總表!$E$9-2018))</f>
        <v>0</v>
      </c>
    </row>
    <row r="73" spans="39:63">
      <c r="AM73" s="52" t="s">
        <v>106</v>
      </c>
      <c r="AN73" s="55">
        <f>IF($AN$63&gt;=LCC總表!$E$9,(((LCC總表!$W$27*(LCC總表!$W$29/100))*LCC總表!$W$30)),0)</f>
        <v>0</v>
      </c>
      <c r="AO73" s="55">
        <f>IF(AO$63&gt;=LCC總表!$E$9,AO25/(1+LCC總表!$E$7*0.01)^(AO$63-LCC總表!$E$9+1),0)</f>
        <v>0</v>
      </c>
      <c r="AP73" s="55">
        <f>IF(AP$63&gt;=LCC總表!$E$9,AP25/(1+LCC總表!$E$7*0.01)^(AP$63-LCC總表!$E$9+1),0)</f>
        <v>0</v>
      </c>
      <c r="AQ73" s="55">
        <f>IF(AQ$63&gt;=LCC總表!$E$9,AQ25/(1+LCC總表!$E$7*0.01)^(AQ$63-LCC總表!$E$9+1),0)</f>
        <v>0</v>
      </c>
      <c r="AR73" s="55">
        <f>IF(AR$63&gt;=LCC總表!$E$9,AR25/(1+LCC總表!$E$7*0.01)^(AR$63-LCC總表!$E$9+1),0)</f>
        <v>0</v>
      </c>
      <c r="AS73" s="55">
        <f>IF(AS$63&gt;=LCC總表!$E$9,AS25/(1+LCC總表!$E$7*0.01)^(AS$63-LCC總表!$E$9+1),0)</f>
        <v>0</v>
      </c>
      <c r="AT73" s="55">
        <f>IF(AT$63&gt;=LCC總表!$E$9,AT25/(1+LCC總表!$E$7*0.01)^(AT$63-LCC總表!$E$9+1),0)</f>
        <v>0</v>
      </c>
      <c r="AU73" s="55">
        <f>IF(AU$63&gt;=LCC總表!$E$9,AU25/(1+LCC總表!$E$7*0.01)^(AU$63-LCC總表!$E$9+1),0)</f>
        <v>0</v>
      </c>
      <c r="AV73" s="55">
        <f>IF(AV$63&gt;=LCC總表!$E$9,AV25/(1+LCC總表!$E$7*0.01)^(AV$63-LCC總表!$E$9+1),0)</f>
        <v>0</v>
      </c>
      <c r="AW73" s="55">
        <f>IF(AW$63&gt;=LCC總表!$E$9,AW25/(1+LCC總表!$E$7*0.01)^(AW$63-LCC總表!$E$9+1),0)</f>
        <v>0</v>
      </c>
      <c r="AX73" s="55">
        <f>IF(AX$63&gt;=LCC總表!$E$9,AX25/(1+LCC總表!$E$7*0.01)^(AX$63-LCC總表!$E$9+1),0)</f>
        <v>0</v>
      </c>
      <c r="AY73" s="55">
        <f>IF(AY$63&gt;=LCC總表!$E$9,AY25/(1+LCC總表!$E$7*0.01)^(AY$63-LCC總表!$E$9+1),0)</f>
        <v>0</v>
      </c>
      <c r="AZ73" s="55">
        <f>IF(AZ$63&gt;=LCC總表!$E$9,AZ25/(1+LCC總表!$E$7*0.01)^(AZ$63-LCC總表!$E$9+1),0)</f>
        <v>0</v>
      </c>
      <c r="BA73" s="55">
        <f>IF(BA$63&gt;=LCC總表!$E$9,BA25/(1+LCC總表!$E$7*0.01)^(BA$63-LCC總表!$E$9+1),0)</f>
        <v>0</v>
      </c>
      <c r="BB73" s="55">
        <f>IF(BB$63&gt;=LCC總表!$E$9,BB25/(1+LCC總表!$E$7*0.01)^(BB$63-LCC總表!$E$9+1),0)</f>
        <v>0</v>
      </c>
      <c r="BC73" s="55">
        <f>IF(BC$63&gt;=LCC總表!$E$9,BC25/(1+LCC總表!$E$7*0.01)^(BC$63-LCC總表!$E$9+1),0)</f>
        <v>0</v>
      </c>
      <c r="BD73" s="55">
        <f>IF(BD$63&gt;=LCC總表!$E$9,BD25/(1+LCC總表!$E$7*0.01)^(BD$63-LCC總表!$E$9+1),0)</f>
        <v>0</v>
      </c>
      <c r="BE73" s="55">
        <f>IF(BE$63&gt;=LCC總表!$E$9,BE25/(1+LCC總表!$E$7*0.01)^(BE$63-LCC總表!$E$9+1),0)</f>
        <v>0</v>
      </c>
      <c r="BF73" s="55">
        <f>IF(BF$63&gt;=LCC總表!$E$9,BF25/(1+LCC總表!$E$7*0.01)^(BF$63-LCC總表!$E$9+1),0)</f>
        <v>0</v>
      </c>
      <c r="BG73" s="55">
        <f>IF(BG$63&gt;=LCC總表!$E$9,BG25/(1+LCC總表!$E$7*0.01)^(BG$63-LCC總表!$E$9+1),0)</f>
        <v>0</v>
      </c>
      <c r="BH73" s="55">
        <f>IF(BH$63&gt;=LCC總表!$E$9,BH25/(1+LCC總表!$E$7*0.01)^(BH$63-LCC總表!$E$9+1),0)</f>
        <v>0</v>
      </c>
      <c r="BI73" s="55">
        <f>IF(BI$63&gt;=LCC總表!$E$9,BI25/(1+LCC總表!$E$7*0.01)^(BI$63-LCC總表!$E$9+1),0)</f>
        <v>0</v>
      </c>
      <c r="BJ73" s="55">
        <f>IF(BJ$63&gt;=LCC總表!$E$9,BJ25/(1+LCC總表!$E$7*0.01)^(BJ$63-LCC總表!$E$9+1),0)</f>
        <v>0</v>
      </c>
      <c r="BK73" s="55">
        <f>SUM(AN73:INDEX(AN73:BJ73,LCC總表!$E$6+LCC總表!$E$9-2018))</f>
        <v>0</v>
      </c>
    </row>
    <row r="75" spans="39:63">
      <c r="AM75" s="53" t="s">
        <v>54</v>
      </c>
      <c r="AN75" s="51">
        <v>2018</v>
      </c>
      <c r="AO75" s="51">
        <v>2019</v>
      </c>
      <c r="AP75" s="51">
        <v>2020</v>
      </c>
      <c r="AQ75" s="51">
        <v>2021</v>
      </c>
      <c r="AR75" s="51">
        <v>2022</v>
      </c>
      <c r="AS75" s="51">
        <v>2023</v>
      </c>
      <c r="AT75" s="51">
        <v>2024</v>
      </c>
      <c r="AU75" s="51">
        <v>2025</v>
      </c>
      <c r="AV75" s="51">
        <v>2026</v>
      </c>
      <c r="AW75" s="51">
        <v>2027</v>
      </c>
      <c r="AX75" s="51">
        <v>2028</v>
      </c>
      <c r="AY75" s="51">
        <v>2029</v>
      </c>
      <c r="AZ75" s="51">
        <v>2030</v>
      </c>
      <c r="BA75" s="51">
        <v>2031</v>
      </c>
      <c r="BB75" s="51">
        <v>2032</v>
      </c>
      <c r="BC75" s="51">
        <v>2033</v>
      </c>
      <c r="BD75" s="51">
        <v>2034</v>
      </c>
      <c r="BE75" s="51">
        <v>2035</v>
      </c>
      <c r="BF75" s="51">
        <v>2036</v>
      </c>
      <c r="BG75" s="51">
        <v>2037</v>
      </c>
      <c r="BH75" s="51">
        <v>2038</v>
      </c>
      <c r="BI75" s="51">
        <v>2039</v>
      </c>
      <c r="BJ75" s="51">
        <v>2040</v>
      </c>
      <c r="BK75" s="66" t="s">
        <v>159</v>
      </c>
    </row>
    <row r="76" spans="39:63">
      <c r="AM76" s="52" t="s">
        <v>97</v>
      </c>
      <c r="AN76" s="55">
        <f>IF(AN75&gt;=LCC總表!$E$9,((LCC總表!$E$27*(LCC總表!$E$29/100))*LCC總表!$E$30),0)</f>
        <v>0</v>
      </c>
      <c r="AO76" s="55">
        <f>IF(AO$63&gt;=LCC總表!$E$9,AO28/(1+LCC總表!$E$7*0.01)^(AO$63-LCC總表!$E$9+1),0)</f>
        <v>98947.946048780504</v>
      </c>
      <c r="AP76" s="55">
        <f>IF(AP$63&gt;=LCC總表!$E$9,AP28/(1+LCC總表!$E$7*0.01)^(AP$63-LCC總表!$E$9+1),0)</f>
        <v>93991.181126626863</v>
      </c>
      <c r="AQ76" s="55">
        <f>IF(AQ$63&gt;=LCC總表!$E$9,AQ28/(1+LCC總表!$E$7*0.01)^(AQ$63-LCC總表!$E$9+1),0)</f>
        <v>90038.76318231273</v>
      </c>
      <c r="AR76" s="55">
        <f>IF(AR$63&gt;=LCC總表!$E$9,AR28/(1+LCC總表!$E$7*0.01)^(AR$63-LCC總表!$E$9+1),0)</f>
        <v>90421.156527010928</v>
      </c>
      <c r="AS76" s="55">
        <f>IF(AS$63&gt;=LCC總表!$E$9,AS28/(1+LCC總表!$E$7*0.01)^(AS$63-LCC總表!$E$9+1),0)</f>
        <v>91745.61750606836</v>
      </c>
      <c r="AT76" s="55">
        <f>IF(AT$63&gt;=LCC總表!$E$9,AT28/(1+LCC總表!$E$7*0.01)^(AT$63-LCC總表!$E$9+1),0)</f>
        <v>90039.10922758159</v>
      </c>
      <c r="AU76" s="55">
        <f>IF(AU$63&gt;=LCC總表!$E$9,AU28/(1+LCC總表!$E$7*0.01)^(AU$63-LCC總表!$E$9+1),0)</f>
        <v>90176.499014720233</v>
      </c>
      <c r="AV76" s="55">
        <f>IF(AV$63&gt;=LCC總表!$E$9,AV28/(1+LCC總表!$E$7*0.01)^(AV$63-LCC總表!$E$9+1),0)</f>
        <v>90417.849925615345</v>
      </c>
      <c r="AW76" s="55">
        <f>IF(AW$63&gt;=LCC總表!$E$9,AW28/(1+LCC總表!$E$7*0.01)^(AW$63-LCC總表!$E$9+1),0)</f>
        <v>88629.500893412696</v>
      </c>
      <c r="AX76" s="55">
        <f>IF(AX$63&gt;=LCC總表!$E$9,AX28/(1+LCC總表!$E$7*0.01)^(AX$63-LCC總表!$E$9+1),0)</f>
        <v>86630.275099660852</v>
      </c>
      <c r="AY76" s="55">
        <f>IF(AY$63&gt;=LCC總表!$E$9,AY28/(1+LCC總表!$E$7*0.01)^(AY$63-LCC總表!$E$9+1),0)</f>
        <v>85111.194941134236</v>
      </c>
      <c r="AZ76" s="55">
        <f>IF(AZ$63&gt;=LCC總表!$E$9,AZ28/(1+LCC總表!$E$7*0.01)^(AZ$63-LCC總表!$E$9+1),0)</f>
        <v>83895.572976261479</v>
      </c>
      <c r="BA76" s="55">
        <f>IF(BA$63&gt;=LCC總表!$E$9,BA28/(1+LCC總表!$E$7*0.01)^(BA$63-LCC總表!$E$9+1),0)</f>
        <v>82438.100879519421</v>
      </c>
      <c r="BB76" s="55">
        <f>IF(BB$63&gt;=LCC總表!$E$9,BB28/(1+LCC總表!$E$7*0.01)^(BB$63-LCC總表!$E$9+1),0)</f>
        <v>81040.518317389709</v>
      </c>
      <c r="BC76" s="55">
        <f>IF(BC$63&gt;=LCC總表!$E$9,BC28/(1+LCC總表!$E$7*0.01)^(BC$63-LCC總表!$E$9+1),0)</f>
        <v>79038.13402381257</v>
      </c>
      <c r="BD76" s="55">
        <f>IF(BD$63&gt;=LCC總表!$E$9,BD28/(1+LCC總表!$E$7*0.01)^(BD$63-LCC總表!$E$9+1),0)</f>
        <v>76942.433479948348</v>
      </c>
      <c r="BE76" s="55">
        <f>IF(BE$63&gt;=LCC總表!$E$9,BE28/(1+LCC總表!$E$7*0.01)^(BE$63-LCC總表!$E$9+1),0)</f>
        <v>75031.74204932159</v>
      </c>
      <c r="BF76" s="55">
        <f>IF(BF$63&gt;=LCC總表!$E$9,BF28/(1+LCC總表!$E$7*0.01)^(BF$63-LCC總表!$E$9+1),0)</f>
        <v>73420.722744964078</v>
      </c>
      <c r="BG76" s="55">
        <f>IF(BG$63&gt;=LCC總表!$E$9,BG28/(1+LCC總表!$E$7*0.01)^(BG$63-LCC總表!$E$9+1),0)</f>
        <v>71970.847915024366</v>
      </c>
      <c r="BH76" s="55">
        <f>IF(BH$63&gt;=LCC總表!$E$9,BH28/(1+LCC總表!$E$7*0.01)^(BH$63-LCC總表!$E$9+1),0)</f>
        <v>69833.580685720895</v>
      </c>
      <c r="BI76" s="55">
        <f>IF(BI$63&gt;=LCC總表!$E$9,BI28/(1+LCC總表!$E$7*0.01)^(BI$63-LCC總表!$E$9+1),0)</f>
        <v>67804.055731685192</v>
      </c>
      <c r="BJ76" s="55">
        <f>IF(BJ$63&gt;=LCC總表!$E$9,BJ28/(1+LCC總表!$E$7*0.01)^(BJ$63-LCC總表!$E$9+1),0)</f>
        <v>65742.076686167231</v>
      </c>
      <c r="BK76" s="55">
        <f>SUM(AN76:INDEX(AN76:BJ76,LCC總表!$E$6+LCC總表!$E$9-2018))</f>
        <v>735778.12255871657</v>
      </c>
    </row>
    <row r="77" spans="39:63">
      <c r="AM77" s="52" t="s">
        <v>98</v>
      </c>
      <c r="AN77" s="55">
        <f>IF(AN75&gt;=LCC總表!$E$9,((LCC總表!$G$27*(LCC總表!$G$29/100))*LCC總表!$G$30),0)</f>
        <v>0</v>
      </c>
      <c r="AO77" s="55">
        <f>IF(AO$63&gt;=LCC總表!$E$9,AO29/(1+LCC總表!$E$7*0.01)^(AO$63-LCC總表!$E$9+1),0)</f>
        <v>75955.892195121953</v>
      </c>
      <c r="AP77" s="55">
        <f>IF(AP$63&gt;=LCC總表!$E$9,AP29/(1+LCC總表!$E$7*0.01)^(AP$63-LCC總表!$E$9+1),0)</f>
        <v>72150.906673966674</v>
      </c>
      <c r="AQ77" s="55">
        <f>IF(AQ$63&gt;=LCC總表!$E$9,AQ29/(1+LCC總表!$E$7*0.01)^(AQ$63-LCC總表!$E$9+1),0)</f>
        <v>69116.892899285711</v>
      </c>
      <c r="AR77" s="55">
        <f>IF(AR$63&gt;=LCC總表!$E$9,AR29/(1+LCC總表!$E$7*0.01)^(AR$63-LCC總表!$E$9+1),0)</f>
        <v>69410.431358908798</v>
      </c>
      <c r="AS77" s="55">
        <f>IF(AS$63&gt;=LCC總表!$E$9,AS29/(1+LCC總表!$E$7*0.01)^(AS$63-LCC總表!$E$9+1),0)</f>
        <v>70427.133770218439</v>
      </c>
      <c r="AT77" s="55">
        <f>IF(AT$63&gt;=LCC總表!$E$9,AT29/(1+LCC總表!$E$7*0.01)^(AT$63-LCC總表!$E$9+1),0)</f>
        <v>69117.158535695417</v>
      </c>
      <c r="AU77" s="55">
        <f>IF(AU$63&gt;=LCC總表!$E$9,AU29/(1+LCC總表!$E$7*0.01)^(AU$63-LCC總表!$E$9+1),0)</f>
        <v>69222.623724992707</v>
      </c>
      <c r="AV77" s="55">
        <f>IF(AV$63&gt;=LCC總表!$E$9,AV29/(1+LCC總表!$E$7*0.01)^(AV$63-LCC總表!$E$9+1),0)</f>
        <v>69407.89309642672</v>
      </c>
      <c r="AW77" s="55">
        <f>IF(AW$63&gt;=LCC總表!$E$9,AW29/(1+LCC總表!$E$7*0.01)^(AW$63-LCC總表!$E$9+1),0)</f>
        <v>68035.094046810569</v>
      </c>
      <c r="AX77" s="55">
        <f>IF(AX$63&gt;=LCC總表!$E$9,AX29/(1+LCC總表!$E$7*0.01)^(AX$63-LCC總表!$E$9+1),0)</f>
        <v>66500.418644967867</v>
      </c>
      <c r="AY77" s="55">
        <f>IF(AY$63&gt;=LCC總表!$E$9,AY29/(1+LCC總表!$E$7*0.01)^(AY$63-LCC總表!$E$9+1),0)</f>
        <v>65334.319768090594</v>
      </c>
      <c r="AZ77" s="55">
        <f>IF(AZ$63&gt;=LCC總表!$E$9,AZ29/(1+LCC總表!$E$7*0.01)^(AZ$63-LCC總表!$E$9+1),0)</f>
        <v>64401.165977628109</v>
      </c>
      <c r="BA77" s="55">
        <f>IF(BA$63&gt;=LCC總表!$E$9,BA29/(1+LCC總表!$E$7*0.01)^(BA$63-LCC總表!$E$9+1),0)</f>
        <v>63282.359596311588</v>
      </c>
      <c r="BB77" s="55">
        <f>IF(BB$63&gt;=LCC總表!$E$9,BB29/(1+LCC總表!$E$7*0.01)^(BB$63-LCC總表!$E$9+1),0)</f>
        <v>62209.526509199561</v>
      </c>
      <c r="BC77" s="55">
        <f>IF(BC$63&gt;=LCC總表!$E$9,BC29/(1+LCC總表!$E$7*0.01)^(BC$63-LCC總表!$E$9+1),0)</f>
        <v>60672.426532802179</v>
      </c>
      <c r="BD77" s="55">
        <f>IF(BD$63&gt;=LCC總表!$E$9,BD29/(1+LCC總表!$E$7*0.01)^(BD$63-LCC總表!$E$9+1),0)</f>
        <v>59063.693750167811</v>
      </c>
      <c r="BE77" s="55">
        <f>IF(BE$63&gt;=LCC總表!$E$9,BE29/(1+LCC總表!$E$7*0.01)^(BE$63-LCC總表!$E$9+1),0)</f>
        <v>57596.980411304954</v>
      </c>
      <c r="BF77" s="55">
        <f>IF(BF$63&gt;=LCC總表!$E$9,BF29/(1+LCC總表!$E$7*0.01)^(BF$63-LCC總表!$E$9+1),0)</f>
        <v>56360.305841569934</v>
      </c>
      <c r="BG77" s="55">
        <f>IF(BG$63&gt;=LCC總表!$E$9,BG29/(1+LCC總表!$E$7*0.01)^(BG$63-LCC總表!$E$9+1),0)</f>
        <v>55247.33138705189</v>
      </c>
      <c r="BH77" s="55">
        <f>IF(BH$63&gt;=LCC總表!$E$9,BH29/(1+LCC總表!$E$7*0.01)^(BH$63-LCC總表!$E$9+1),0)</f>
        <v>53606.690567877027</v>
      </c>
      <c r="BI77" s="55">
        <f>IF(BI$63&gt;=LCC總表!$E$9,BI29/(1+LCC總表!$E$7*0.01)^(BI$63-LCC總表!$E$9+1),0)</f>
        <v>52048.756474530113</v>
      </c>
      <c r="BJ77" s="55">
        <f>IF(BJ$63&gt;=LCC總表!$E$9,BJ29/(1+LCC總表!$E$7*0.01)^(BJ$63-LCC總表!$E$9+1),0)</f>
        <v>50465.909489381491</v>
      </c>
      <c r="BK77" s="55">
        <f>SUM(AN77:INDEX(AN77:BJ77,LCC總表!$E$6+LCC總表!$E$9-2018))</f>
        <v>564808.93225461652</v>
      </c>
    </row>
    <row r="78" spans="39:63">
      <c r="AM78" s="52" t="s">
        <v>99</v>
      </c>
      <c r="AN78" s="55">
        <f>((LCC總表!$I$27*(LCC總表!$I$29/100))*LCC總表!$I$30)</f>
        <v>144584.49</v>
      </c>
      <c r="AO78" s="55">
        <f>((LCC總表!$I$27*(LCC總表!$I$29/100))*(LCC總表!$I$30*(1+E$12)))</f>
        <v>144584.49</v>
      </c>
      <c r="AP78" s="55">
        <f>((LCC總表!$I$27*(LCC總表!$I$29/100))*(LCC總表!$I$30*(1+F$12)))</f>
        <v>140775.11680248688</v>
      </c>
      <c r="AQ78" s="55">
        <f>((LCC總表!$I$27*(LCC總表!$I$29/100))*(LCC總表!$I$30*(1+G$12)))</f>
        <v>138226.77492829721</v>
      </c>
      <c r="AR78" s="55">
        <f>((LCC總表!$I$27*(LCC總表!$I$29/100))*(LCC總表!$I$30*(1+H$12)))</f>
        <v>142284.16762428914</v>
      </c>
      <c r="AS78" s="55">
        <f>((LCC總表!$I$27*(LCC總表!$I$29/100))*(LCC總表!$I$30*(1+I$12)))</f>
        <v>147977.5094065626</v>
      </c>
      <c r="AT78" s="55">
        <f>((LCC總表!$I$27*(LCC總表!$I$29/100))*(LCC總表!$I$30*(1+J$12)))</f>
        <v>148855.69013797017</v>
      </c>
      <c r="AU78" s="55">
        <f>((LCC總表!$I$27*(LCC總表!$I$29/100))*(LCC總表!$I$30*(1+K$12)))</f>
        <v>152809.89825390215</v>
      </c>
      <c r="AV78" s="55">
        <f>((LCC總表!$I$27*(LCC總表!$I$29/100))*(LCC總表!$I$30*(1+L$12)))</f>
        <v>157049.35502480328</v>
      </c>
      <c r="AW78" s="55">
        <f>((LCC總表!$I$27*(LCC總表!$I$29/100))*(LCC總表!$I$30*(1+M$12)))</f>
        <v>157791.69834280491</v>
      </c>
      <c r="AX78" s="55">
        <f>((LCC總表!$I$27*(LCC總表!$I$29/100))*(LCC總表!$I$30*(1+N$12)))</f>
        <v>158088.18227045058</v>
      </c>
      <c r="AY78" s="55">
        <f>((LCC總表!$I$27*(LCC總表!$I$29/100))*(LCC總表!$I$30*(1+O$12)))</f>
        <v>159198.97444307685</v>
      </c>
      <c r="AZ78" s="55">
        <f>((LCC總表!$I$27*(LCC總表!$I$29/100))*(LCC總表!$I$30*(1+P$12)))</f>
        <v>160848.3045862178</v>
      </c>
      <c r="BA78" s="55">
        <f>((LCC總表!$I$27*(LCC總表!$I$29/100))*(LCC總表!$I$30*(1+Q$12)))</f>
        <v>162005.32395932876</v>
      </c>
      <c r="BB78" s="55">
        <f>((LCC總表!$I$27*(LCC總表!$I$29/100))*(LCC總表!$I$30*(1+R$12)))</f>
        <v>163240.29988395699</v>
      </c>
      <c r="BC78" s="55">
        <f>((LCC總表!$I$27*(LCC總表!$I$29/100))*(LCC總表!$I$30*(1+S$12)))</f>
        <v>163187.05991032222</v>
      </c>
      <c r="BD78" s="55">
        <f>((LCC總表!$I$27*(LCC總表!$I$29/100))*(LCC總表!$I$30*(1+T$12)))</f>
        <v>162831.6495377956</v>
      </c>
      <c r="BE78" s="55">
        <f>((LCC總表!$I$27*(LCC總表!$I$29/100))*(LCC總表!$I$30*(1+U$12)))</f>
        <v>162757.79589150389</v>
      </c>
      <c r="BF78" s="55">
        <f>((LCC總表!$I$27*(LCC總表!$I$29/100))*(LCC總表!$I$30*(1+V$12)))</f>
        <v>163244.77544248351</v>
      </c>
      <c r="BG78" s="55">
        <f>((LCC總表!$I$27*(LCC總表!$I$29/100))*(LCC總表!$I$30*(1+W$12)))</f>
        <v>164021.62875435079</v>
      </c>
      <c r="BH78" s="55">
        <f>((LCC總表!$I$27*(LCC總表!$I$29/100))*(LCC總表!$I$30*(1+X$12)))</f>
        <v>163129.56463744681</v>
      </c>
      <c r="BI78" s="55">
        <f>((LCC總表!$I$27*(LCC總表!$I$29/100))*(LCC總表!$I$30*(1+Y$12)))</f>
        <v>162348.35924409714</v>
      </c>
      <c r="BJ78" s="55">
        <f>((LCC總表!$I$27*(LCC總表!$I$29/100))*(LCC總表!$I$30*(1+Z$12)))</f>
        <v>161346.48764482443</v>
      </c>
      <c r="BK78" s="55">
        <f>SUM(AN78:INDEX(AN78:BJ78,LCC總表!$E$6+LCC總表!$E$9-2018))</f>
        <v>1317147.4921783113</v>
      </c>
    </row>
    <row r="79" spans="39:63">
      <c r="AM79" s="52" t="s">
        <v>100</v>
      </c>
      <c r="AN79" s="55">
        <f>((LCC總表!$K$27*(LCC總表!$K$29/100))*LCC總表!$K$30)</f>
        <v>82147.323839999997</v>
      </c>
      <c r="AO79" s="55">
        <f>((LCC總表!$K$27*(LCC總表!$K$29/100))*(LCC總表!$K$30*(1+E$12)))</f>
        <v>82147.323839999997</v>
      </c>
      <c r="AP79" s="55">
        <f>((LCC總表!$K$27*(LCC總表!$K$29/100))*(LCC總表!$K$30*(1+F$12)))</f>
        <v>79982.985094650983</v>
      </c>
      <c r="AQ79" s="55">
        <f>((LCC總表!$K$27*(LCC總表!$K$29/100))*(LCC總表!$K$30*(1+G$12)))</f>
        <v>78535.115650327512</v>
      </c>
      <c r="AR79" s="55">
        <f>((LCC總表!$K$27*(LCC總表!$K$29/100))*(LCC總表!$K$30*(1+H$12)))</f>
        <v>80840.369497013977</v>
      </c>
      <c r="AS79" s="55">
        <f>((LCC總表!$K$27*(LCC總表!$K$29/100))*(LCC總表!$K$30*(1+I$12)))</f>
        <v>84075.106439546478</v>
      </c>
      <c r="AT79" s="55">
        <f>((LCC總表!$K$27*(LCC總表!$K$29/100))*(LCC總表!$K$30*(1+J$12)))</f>
        <v>84574.054818677527</v>
      </c>
      <c r="AU79" s="55">
        <f>((LCC總表!$K$27*(LCC總表!$K$29/100))*(LCC總表!$K$30*(1+K$12)))</f>
        <v>86820.683171623386</v>
      </c>
      <c r="AV79" s="55">
        <f>((LCC總表!$K$27*(LCC總表!$K$29/100))*(LCC總表!$K$30*(1+L$12)))</f>
        <v>89229.378794956807</v>
      </c>
      <c r="AW79" s="55">
        <f>((LCC總表!$K$27*(LCC總表!$K$29/100))*(LCC總表!$K$30*(1+M$12)))</f>
        <v>89651.14960138523</v>
      </c>
      <c r="AX79" s="55">
        <f>((LCC總表!$K$27*(LCC總表!$K$29/100))*(LCC總表!$K$30*(1+N$12)))</f>
        <v>89819.600319838239</v>
      </c>
      <c r="AY79" s="55">
        <f>((LCC總表!$K$27*(LCC總表!$K$29/100))*(LCC總表!$K$30*(1+O$12)))</f>
        <v>90450.709537180082</v>
      </c>
      <c r="AZ79" s="55">
        <f>((LCC總表!$K$27*(LCC總表!$K$29/100))*(LCC總表!$K$30*(1+P$12)))</f>
        <v>91387.795232801174</v>
      </c>
      <c r="BA79" s="55">
        <f>((LCC總表!$K$27*(LCC總表!$K$29/100))*(LCC總表!$K$30*(1+Q$12)))</f>
        <v>92045.168960315787</v>
      </c>
      <c r="BB79" s="55">
        <f>((LCC總表!$K$27*(LCC總表!$K$29/100))*(LCC總表!$K$30*(1+R$12)))</f>
        <v>92746.834589976614</v>
      </c>
      <c r="BC79" s="55">
        <f>((LCC總表!$K$27*(LCC總表!$K$29/100))*(LCC總表!$K$30*(1+S$12)))</f>
        <v>92716.585692910201</v>
      </c>
      <c r="BD79" s="55">
        <f>((LCC總表!$K$27*(LCC總表!$K$29/100))*(LCC總表!$K$30*(1+T$12)))</f>
        <v>92514.655244021546</v>
      </c>
      <c r="BE79" s="55">
        <f>((LCC總表!$K$27*(LCC總表!$K$29/100))*(LCC總表!$K$30*(1+U$12)))</f>
        <v>92472.694454183787</v>
      </c>
      <c r="BF79" s="55">
        <f>((LCC總表!$K$27*(LCC總表!$K$29/100))*(LCC總表!$K$30*(1+V$12)))</f>
        <v>92749.377429500018</v>
      </c>
      <c r="BG79" s="55">
        <f>((LCC總表!$K$27*(LCC總表!$K$29/100))*(LCC總表!$K$30*(1+W$12)))</f>
        <v>93190.755481780303</v>
      </c>
      <c r="BH79" s="55">
        <f>((LCC總表!$K$27*(LCC總表!$K$29/100))*(LCC總表!$K$30*(1+X$12)))</f>
        <v>92683.919099140941</v>
      </c>
      <c r="BI79" s="55">
        <f>((LCC總表!$K$27*(LCC總表!$K$29/100))*(LCC總表!$K$30*(1+Y$12)))</f>
        <v>92240.068362225458</v>
      </c>
      <c r="BJ79" s="55">
        <f>((LCC總表!$K$27*(LCC總表!$K$29/100))*(LCC總表!$K$30*(1+Z$12)))</f>
        <v>91670.84360850844</v>
      </c>
      <c r="BK79" s="55">
        <f>SUM(AN79:INDEX(AN79:BJ79,LCC總表!$E$6+LCC總表!$E$9-2018))</f>
        <v>748352.34114679671</v>
      </c>
    </row>
    <row r="80" spans="39:63">
      <c r="AM80" s="52" t="s">
        <v>101</v>
      </c>
      <c r="AN80" s="55">
        <f>((LCC總表!$M$27*(LCC總表!$M$29/100))*LCC總表!$M$30)</f>
        <v>403336.56</v>
      </c>
      <c r="AO80" s="55">
        <f>((LCC總表!$M$27*(LCC總表!$M$29/100))*(LCC總表!$M$30*(1+E$12)))</f>
        <v>403336.56</v>
      </c>
      <c r="AP80" s="55">
        <f>((LCC總表!$M$27*(LCC總表!$M$29/100))*(LCC總表!$M$30*(1+F$12)))</f>
        <v>392709.8359216348</v>
      </c>
      <c r="AQ80" s="55">
        <f>((LCC總表!$M$27*(LCC總表!$M$29/100))*(LCC總表!$M$30*(1+G$12)))</f>
        <v>385600.91680285789</v>
      </c>
      <c r="AR80" s="55">
        <f>((LCC總表!$M$27*(LCC總表!$M$29/100))*(LCC總表!$M$30*(1+H$12)))</f>
        <v>396919.52236401115</v>
      </c>
      <c r="AS80" s="55">
        <f>((LCC總表!$M$27*(LCC總表!$M$29/100))*(LCC總表!$M$30*(1+I$12)))</f>
        <v>412801.81298430136</v>
      </c>
      <c r="AT80" s="55">
        <f>((LCC總表!$M$27*(LCC總表!$M$29/100))*(LCC總表!$M$30*(1+J$12)))</f>
        <v>415251.60822350183</v>
      </c>
      <c r="AU80" s="55">
        <f>((LCC總表!$M$27*(LCC總表!$M$29/100))*(LCC總表!$M$30*(1+K$12)))</f>
        <v>426282.36746333505</v>
      </c>
      <c r="AV80" s="55">
        <f>((LCC總表!$M$27*(LCC總表!$M$29/100))*(LCC總表!$M$30*(1+L$12)))</f>
        <v>438108.86358504195</v>
      </c>
      <c r="AW80" s="55">
        <f>((LCC總表!$M$27*(LCC總表!$M$29/100))*(LCC總表!$M$30*(1+M$12)))</f>
        <v>440179.72333093698</v>
      </c>
      <c r="AX80" s="55">
        <f>((LCC總表!$M$27*(LCC總表!$M$29/100))*(LCC總表!$M$30*(1+N$12)))</f>
        <v>441006.80241439812</v>
      </c>
      <c r="AY80" s="55">
        <f>((LCC總表!$M$27*(LCC總表!$M$29/100))*(LCC總表!$M$30*(1+O$12)))</f>
        <v>444105.49642910197</v>
      </c>
      <c r="AZ80" s="55">
        <f>((LCC總表!$M$27*(LCC總表!$M$29/100))*(LCC總表!$M$30*(1+P$12)))</f>
        <v>448706.50962380058</v>
      </c>
      <c r="BA80" s="55">
        <f>((LCC總表!$M$27*(LCC總表!$M$29/100))*(LCC總表!$M$30*(1+Q$12)))</f>
        <v>451934.16020930896</v>
      </c>
      <c r="BB80" s="55">
        <f>((LCC總表!$M$27*(LCC總表!$M$29/100))*(LCC總表!$M$30*(1+R$12)))</f>
        <v>455379.28036792605</v>
      </c>
      <c r="BC80" s="55">
        <f>((LCC總表!$M$27*(LCC總表!$M$29/100))*(LCC總表!$M$30*(1+S$12)))</f>
        <v>455230.76078729652</v>
      </c>
      <c r="BD80" s="55">
        <f>((LCC總表!$M$27*(LCC總表!$M$29/100))*(LCC總表!$M$30*(1+T$12)))</f>
        <v>454239.29899880727</v>
      </c>
      <c r="BE80" s="55">
        <f>((LCC總表!$M$27*(LCC總表!$M$29/100))*(LCC總表!$M$30*(1+U$12)))</f>
        <v>454033.27499416645</v>
      </c>
      <c r="BF80" s="55">
        <f>((LCC總表!$M$27*(LCC總表!$M$29/100))*(LCC總表!$M$30*(1+V$12)))</f>
        <v>455391.76549949287</v>
      </c>
      <c r="BG80" s="55">
        <f>((LCC總表!$M$27*(LCC總表!$M$29/100))*(LCC總表!$M$30*(1+W$12)))</f>
        <v>457558.89519945683</v>
      </c>
      <c r="BH80" s="55">
        <f>((LCC總表!$M$27*(LCC總表!$M$29/100))*(LCC總表!$M$30*(1+X$12)))</f>
        <v>455070.3705159899</v>
      </c>
      <c r="BI80" s="55">
        <f>((LCC總表!$M$27*(LCC總表!$M$29/100))*(LCC總表!$M$30*(1+Y$12)))</f>
        <v>452891.10013915272</v>
      </c>
      <c r="BJ80" s="55">
        <f>((LCC總表!$M$27*(LCC總表!$M$29/100))*(LCC總表!$M$30*(1+Z$12)))</f>
        <v>450096.25371812691</v>
      </c>
      <c r="BK80" s="55">
        <f>SUM(AN80:INDEX(AN80:BJ80,LCC總表!$E$6+LCC總表!$E$9-2018))</f>
        <v>3674348.0473446832</v>
      </c>
    </row>
    <row r="81" spans="39:63">
      <c r="AM81" s="52" t="s">
        <v>102</v>
      </c>
      <c r="AN81" s="55">
        <f>((LCC總表!$O$27*(LCC總表!$O$29/100))*LCC總表!$O$30)</f>
        <v>0</v>
      </c>
      <c r="AO81" s="55">
        <f>((LCC總表!$O$27*(LCC總表!$O$29/100))*(LCC總表!$O$30*(1+E$12)))</f>
        <v>0</v>
      </c>
      <c r="AP81" s="55">
        <f>((LCC總表!$O$27*(LCC總表!$O$29/100))*(LCC總表!$O$30*(1+F$12)))</f>
        <v>0</v>
      </c>
      <c r="AQ81" s="55">
        <f>((LCC總表!$O$27*(LCC總表!$O$29/100))*(LCC總表!$O$30*(1+G$12)))</f>
        <v>0</v>
      </c>
      <c r="AR81" s="55">
        <f>((LCC總表!$O$27*(LCC總表!$O$29/100))*(LCC總表!$O$30*(1+H$12)))</f>
        <v>0</v>
      </c>
      <c r="AS81" s="55">
        <f>((LCC總表!$O$27*(LCC總表!$O$29/100))*(LCC總表!$O$30*(1+I$12)))</f>
        <v>0</v>
      </c>
      <c r="AT81" s="55">
        <f>((LCC總表!$O$27*(LCC總表!$O$29/100))*(LCC總表!$O$30*(1+J$12)))</f>
        <v>0</v>
      </c>
      <c r="AU81" s="55">
        <f>((LCC總表!$O$27*(LCC總表!$O$29/100))*(LCC總表!$O$30*(1+K$12)))</f>
        <v>0</v>
      </c>
      <c r="AV81" s="55">
        <f>((LCC總表!$O$27*(LCC總表!$O$29/100))*(LCC總表!$O$30*(1+L$12)))</f>
        <v>0</v>
      </c>
      <c r="AW81" s="55">
        <f>((LCC總表!$O$27*(LCC總表!$O$29/100))*(LCC總表!$O$30*(1+M$12)))</f>
        <v>0</v>
      </c>
      <c r="AX81" s="55">
        <f>((LCC總表!$O$27*(LCC總表!$O$29/100))*(LCC總表!$O$30*(1+N$12)))</f>
        <v>0</v>
      </c>
      <c r="AY81" s="55">
        <f>((LCC總表!$O$27*(LCC總表!$O$29/100))*(LCC總表!$O$30*(1+O$12)))</f>
        <v>0</v>
      </c>
      <c r="AZ81" s="55">
        <f>((LCC總表!$O$27*(LCC總表!$O$29/100))*(LCC總表!$O$30*(1+P$12)))</f>
        <v>0</v>
      </c>
      <c r="BA81" s="55">
        <f>((LCC總表!$O$27*(LCC總表!$O$29/100))*(LCC總表!$O$30*(1+Q$12)))</f>
        <v>0</v>
      </c>
      <c r="BB81" s="55">
        <f>((LCC總表!$O$27*(LCC總表!$O$29/100))*(LCC總表!$O$30*(1+R$12)))</f>
        <v>0</v>
      </c>
      <c r="BC81" s="55">
        <f>((LCC總表!$O$27*(LCC總表!$O$29/100))*(LCC總表!$O$30*(1+S$12)))</f>
        <v>0</v>
      </c>
      <c r="BD81" s="55">
        <f>((LCC總表!$O$27*(LCC總表!$O$29/100))*(LCC總表!$O$30*(1+T$12)))</f>
        <v>0</v>
      </c>
      <c r="BE81" s="55">
        <f>((LCC總表!$O$27*(LCC總表!$O$29/100))*(LCC總表!$O$30*(1+U$12)))</f>
        <v>0</v>
      </c>
      <c r="BF81" s="55">
        <f>((LCC總表!$O$27*(LCC總表!$O$29/100))*(LCC總表!$O$30*(1+V$12)))</f>
        <v>0</v>
      </c>
      <c r="BG81" s="55">
        <f>((LCC總表!$O$27*(LCC總表!$O$29/100))*(LCC總表!$O$30*(1+W$12)))</f>
        <v>0</v>
      </c>
      <c r="BH81" s="55">
        <f>((LCC總表!$O$27*(LCC總表!$O$29/100))*(LCC總表!$O$30*(1+X$12)))</f>
        <v>0</v>
      </c>
      <c r="BI81" s="55">
        <f>((LCC總表!$O$27*(LCC總表!$O$29/100))*(LCC總表!$O$30*(1+Y$12)))</f>
        <v>0</v>
      </c>
      <c r="BJ81" s="55">
        <f>((LCC總表!$O$27*(LCC總表!$O$29/100))*(LCC總表!$O$30*(1+Z$12)))</f>
        <v>0</v>
      </c>
      <c r="BK81" s="55">
        <f>SUM(AN81:INDEX(AN81:BJ81,LCC總表!$E$6+LCC總表!$E$9-2018))</f>
        <v>0</v>
      </c>
    </row>
    <row r="82" spans="39:63">
      <c r="AM82" s="52" t="s">
        <v>103</v>
      </c>
      <c r="AN82" s="55">
        <f>((LCC總表!$Q$27*(LCC總表!$Q$29/100))*LCC總表!$Q$30)</f>
        <v>0</v>
      </c>
      <c r="AO82" s="55">
        <f>((LCC總表!$Q$27*(LCC總表!$Q$29/100))*(LCC總表!$Q$30*(1+E$12)))</f>
        <v>0</v>
      </c>
      <c r="AP82" s="55">
        <f>((LCC總表!$Q$27*(LCC總表!$Q$29/100))*(LCC總表!$Q$30*(1+F$12)))</f>
        <v>0</v>
      </c>
      <c r="AQ82" s="55">
        <f>((LCC總表!$Q$27*(LCC總表!$Q$29/100))*(LCC總表!$Q$30*(1+G$12)))</f>
        <v>0</v>
      </c>
      <c r="AR82" s="55">
        <f>((LCC總表!$Q$27*(LCC總表!$Q$29/100))*(LCC總表!$Q$30*(1+H$12)))</f>
        <v>0</v>
      </c>
      <c r="AS82" s="55">
        <f>((LCC總表!$Q$27*(LCC總表!$Q$29/100))*(LCC總表!$Q$30*(1+I$12)))</f>
        <v>0</v>
      </c>
      <c r="AT82" s="55">
        <f>((LCC總表!$Q$27*(LCC總表!$Q$29/100))*(LCC總表!$Q$30*(1+J$12)))</f>
        <v>0</v>
      </c>
      <c r="AU82" s="55">
        <f>((LCC總表!$Q$27*(LCC總表!$Q$29/100))*(LCC總表!$Q$30*(1+K$12)))</f>
        <v>0</v>
      </c>
      <c r="AV82" s="55">
        <f>((LCC總表!$Q$27*(LCC總表!$Q$29/100))*(LCC總表!$Q$30*(1+L$12)))</f>
        <v>0</v>
      </c>
      <c r="AW82" s="55">
        <f>((LCC總表!$Q$27*(LCC總表!$Q$29/100))*(LCC總表!$Q$30*(1+M$12)))</f>
        <v>0</v>
      </c>
      <c r="AX82" s="55">
        <f>((LCC總表!$Q$27*(LCC總表!$Q$29/100))*(LCC總表!$Q$30*(1+N$12)))</f>
        <v>0</v>
      </c>
      <c r="AY82" s="55">
        <f>((LCC總表!$Q$27*(LCC總表!$Q$29/100))*(LCC總表!$Q$30*(1+O$12)))</f>
        <v>0</v>
      </c>
      <c r="AZ82" s="55">
        <f>((LCC總表!$Q$27*(LCC總表!$Q$29/100))*(LCC總表!$Q$30*(1+P$12)))</f>
        <v>0</v>
      </c>
      <c r="BA82" s="55">
        <f>((LCC總表!$Q$27*(LCC總表!$Q$29/100))*(LCC總表!$Q$30*(1+Q$12)))</f>
        <v>0</v>
      </c>
      <c r="BB82" s="55">
        <f>((LCC總表!$Q$27*(LCC總表!$Q$29/100))*(LCC總表!$Q$30*(1+R$12)))</f>
        <v>0</v>
      </c>
      <c r="BC82" s="55">
        <f>((LCC總表!$Q$27*(LCC總表!$Q$29/100))*(LCC總表!$Q$30*(1+S$12)))</f>
        <v>0</v>
      </c>
      <c r="BD82" s="55">
        <f>((LCC總表!$Q$27*(LCC總表!$Q$29/100))*(LCC總表!$Q$30*(1+T$12)))</f>
        <v>0</v>
      </c>
      <c r="BE82" s="55">
        <f>((LCC總表!$Q$27*(LCC總表!$Q$29/100))*(LCC總表!$Q$30*(1+U$12)))</f>
        <v>0</v>
      </c>
      <c r="BF82" s="55">
        <f>((LCC總表!$Q$27*(LCC總表!$Q$29/100))*(LCC總表!$Q$30*(1+V$12)))</f>
        <v>0</v>
      </c>
      <c r="BG82" s="55">
        <f>((LCC總表!$Q$27*(LCC總表!$Q$29/100))*(LCC總表!$Q$30*(1+W$12)))</f>
        <v>0</v>
      </c>
      <c r="BH82" s="55">
        <f>((LCC總表!$Q$27*(LCC總表!$Q$29/100))*(LCC總表!$Q$30*(1+X$12)))</f>
        <v>0</v>
      </c>
      <c r="BI82" s="55">
        <f>((LCC總表!$Q$27*(LCC總表!$Q$29/100))*(LCC總表!$Q$30*(1+Y$12)))</f>
        <v>0</v>
      </c>
      <c r="BJ82" s="55">
        <f>((LCC總表!$Q$27*(LCC總表!$Q$29/100))*(LCC總表!$Q$30*(1+Z$12)))</f>
        <v>0</v>
      </c>
      <c r="BK82" s="55">
        <f>SUM(AN82:INDEX(AN82:BJ82,LCC總表!$E$6+LCC總表!$E$9-2018))</f>
        <v>0</v>
      </c>
    </row>
    <row r="83" spans="39:63">
      <c r="AM83" s="52" t="s">
        <v>104</v>
      </c>
      <c r="AN83" s="55">
        <f>((LCC總表!$S$27*(LCC總表!$S$29/100))*LCC總表!$S$30)</f>
        <v>0</v>
      </c>
      <c r="AO83" s="55">
        <f>((LCC總表!$S$27*(LCC總表!$S$29/100))*(LCC總表!$S$30*(1+E$12)))</f>
        <v>0</v>
      </c>
      <c r="AP83" s="55">
        <f>((LCC總表!$S$27*(LCC總表!$S$29/100))*(LCC總表!$S$30*(1+F$12)))</f>
        <v>0</v>
      </c>
      <c r="AQ83" s="55">
        <f>((LCC總表!$S$27*(LCC總表!$S$29/100))*(LCC總表!$S$30*(1+G$12)))</f>
        <v>0</v>
      </c>
      <c r="AR83" s="55">
        <f>((LCC總表!$S$27*(LCC總表!$S$29/100))*(LCC總表!$S$30*(1+H$12)))</f>
        <v>0</v>
      </c>
      <c r="AS83" s="55">
        <f>((LCC總表!$S$27*(LCC總表!$S$29/100))*(LCC總表!$S$30*(1+I$12)))</f>
        <v>0</v>
      </c>
      <c r="AT83" s="55">
        <f>((LCC總表!$S$27*(LCC總表!$S$29/100))*(LCC總表!$S$30*(1+J$12)))</f>
        <v>0</v>
      </c>
      <c r="AU83" s="55">
        <f>((LCC總表!$S$27*(LCC總表!$S$29/100))*(LCC總表!$S$30*(1+K$12)))</f>
        <v>0</v>
      </c>
      <c r="AV83" s="55">
        <f>((LCC總表!$S$27*(LCC總表!$S$29/100))*(LCC總表!$S$30*(1+L$12)))</f>
        <v>0</v>
      </c>
      <c r="AW83" s="55">
        <f>((LCC總表!$S$27*(LCC總表!$S$29/100))*(LCC總表!$S$30*(1+M$12)))</f>
        <v>0</v>
      </c>
      <c r="AX83" s="55">
        <f>((LCC總表!$S$27*(LCC總表!$S$29/100))*(LCC總表!$S$30*(1+N$12)))</f>
        <v>0</v>
      </c>
      <c r="AY83" s="55">
        <f>((LCC總表!$S$27*(LCC總表!$S$29/100))*(LCC總表!$S$30*(1+O$12)))</f>
        <v>0</v>
      </c>
      <c r="AZ83" s="55">
        <f>((LCC總表!$S$27*(LCC總表!$S$29/100))*(LCC總表!$S$30*(1+P$12)))</f>
        <v>0</v>
      </c>
      <c r="BA83" s="55">
        <f>((LCC總表!$S$27*(LCC總表!$S$29/100))*(LCC總表!$S$30*(1+Q$12)))</f>
        <v>0</v>
      </c>
      <c r="BB83" s="55">
        <f>((LCC總表!$S$27*(LCC總表!$S$29/100))*(LCC總表!$S$30*(1+R$12)))</f>
        <v>0</v>
      </c>
      <c r="BC83" s="55">
        <f>((LCC總表!$S$27*(LCC總表!$S$29/100))*(LCC總表!$S$30*(1+S$12)))</f>
        <v>0</v>
      </c>
      <c r="BD83" s="55">
        <f>((LCC總表!$S$27*(LCC總表!$S$29/100))*(LCC總表!$S$30*(1+T$12)))</f>
        <v>0</v>
      </c>
      <c r="BE83" s="55">
        <f>((LCC總表!$S$27*(LCC總表!$S$29/100))*(LCC總表!$S$30*(1+U$12)))</f>
        <v>0</v>
      </c>
      <c r="BF83" s="55">
        <f>((LCC總表!$S$27*(LCC總表!$S$29/100))*(LCC總表!$S$30*(1+V$12)))</f>
        <v>0</v>
      </c>
      <c r="BG83" s="55">
        <f>((LCC總表!$S$27*(LCC總表!$S$29/100))*(LCC總表!$S$30*(1+W$12)))</f>
        <v>0</v>
      </c>
      <c r="BH83" s="55">
        <f>((LCC總表!$S$27*(LCC總表!$S$29/100))*(LCC總表!$S$30*(1+X$12)))</f>
        <v>0</v>
      </c>
      <c r="BI83" s="55">
        <f>((LCC總表!$S$27*(LCC總表!$S$29/100))*(LCC總表!$S$30*(1+Y$12)))</f>
        <v>0</v>
      </c>
      <c r="BJ83" s="55">
        <f>((LCC總表!$S$27*(LCC總表!$S$29/100))*(LCC總表!$S$30*(1+Z$12)))</f>
        <v>0</v>
      </c>
      <c r="BK83" s="55">
        <f>SUM(AN83:INDEX(AN83:BJ83,LCC總表!$E$6+LCC總表!$E$9-2018))</f>
        <v>0</v>
      </c>
    </row>
    <row r="84" spans="39:63">
      <c r="AM84" s="52" t="s">
        <v>105</v>
      </c>
      <c r="AN84" s="55">
        <f>((LCC總表!$U$27*(LCC總表!$U$29/100))*LCC總表!$U$30)</f>
        <v>0</v>
      </c>
      <c r="AO84" s="55">
        <f>((LCC總表!$U$27*(LCC總表!$U$29/100))*(LCC總表!$U$30*(1+E$12)))</f>
        <v>0</v>
      </c>
      <c r="AP84" s="55">
        <f>((LCC總表!$U$27*(LCC總表!$U$29/100))*(LCC總表!$U$30*(1+F$12)))</f>
        <v>0</v>
      </c>
      <c r="AQ84" s="55">
        <f>((LCC總表!$U$27*(LCC總表!$U$29/100))*(LCC總表!$U$30*(1+G$12)))</f>
        <v>0</v>
      </c>
      <c r="AR84" s="55">
        <f>((LCC總表!$U$27*(LCC總表!$U$29/100))*(LCC總表!$U$30*(1+H$12)))</f>
        <v>0</v>
      </c>
      <c r="AS84" s="55">
        <f>((LCC總表!$U$27*(LCC總表!$U$29/100))*(LCC總表!$U$30*(1+I$12)))</f>
        <v>0</v>
      </c>
      <c r="AT84" s="55">
        <f>((LCC總表!$U$27*(LCC總表!$U$29/100))*(LCC總表!$U$30*(1+J$12)))</f>
        <v>0</v>
      </c>
      <c r="AU84" s="55">
        <f>((LCC總表!$U$27*(LCC總表!$U$29/100))*(LCC總表!$U$30*(1+K$12)))</f>
        <v>0</v>
      </c>
      <c r="AV84" s="55">
        <f>((LCC總表!$U$27*(LCC總表!$U$29/100))*(LCC總表!$U$30*(1+L$12)))</f>
        <v>0</v>
      </c>
      <c r="AW84" s="55">
        <f>((LCC總表!$U$27*(LCC總表!$U$29/100))*(LCC總表!$U$30*(1+M$12)))</f>
        <v>0</v>
      </c>
      <c r="AX84" s="55">
        <f>((LCC總表!$U$27*(LCC總表!$U$29/100))*(LCC總表!$U$30*(1+N$12)))</f>
        <v>0</v>
      </c>
      <c r="AY84" s="55">
        <f>((LCC總表!$U$27*(LCC總表!$U$29/100))*(LCC總表!$U$30*(1+O$12)))</f>
        <v>0</v>
      </c>
      <c r="AZ84" s="55">
        <f>((LCC總表!$U$27*(LCC總表!$U$29/100))*(LCC總表!$U$30*(1+P$12)))</f>
        <v>0</v>
      </c>
      <c r="BA84" s="55">
        <f>((LCC總表!$U$27*(LCC總表!$U$29/100))*(LCC總表!$U$30*(1+Q$12)))</f>
        <v>0</v>
      </c>
      <c r="BB84" s="55">
        <f>((LCC總表!$U$27*(LCC總表!$U$29/100))*(LCC總表!$U$30*(1+R$12)))</f>
        <v>0</v>
      </c>
      <c r="BC84" s="55">
        <f>((LCC總表!$U$27*(LCC總表!$U$29/100))*(LCC總表!$U$30*(1+S$12)))</f>
        <v>0</v>
      </c>
      <c r="BD84" s="55">
        <f>((LCC總表!$U$27*(LCC總表!$U$29/100))*(LCC總表!$U$30*(1+T$12)))</f>
        <v>0</v>
      </c>
      <c r="BE84" s="55">
        <f>((LCC總表!$U$27*(LCC總表!$U$29/100))*(LCC總表!$U$30*(1+U$12)))</f>
        <v>0</v>
      </c>
      <c r="BF84" s="55">
        <f>((LCC總表!$U$27*(LCC總表!$U$29/100))*(LCC總表!$U$30*(1+V$12)))</f>
        <v>0</v>
      </c>
      <c r="BG84" s="55">
        <f>((LCC總表!$U$27*(LCC總表!$U$29/100))*(LCC總表!$U$30*(1+W$12)))</f>
        <v>0</v>
      </c>
      <c r="BH84" s="55">
        <f>((LCC總表!$U$27*(LCC總表!$U$29/100))*(LCC總表!$U$30*(1+X$12)))</f>
        <v>0</v>
      </c>
      <c r="BI84" s="55">
        <f>((LCC總表!$U$27*(LCC總表!$U$29/100))*(LCC總表!$U$30*(1+Y$12)))</f>
        <v>0</v>
      </c>
      <c r="BJ84" s="55">
        <f>((LCC總表!$U$27*(LCC總表!$U$29/100))*(LCC總表!$U$30*(1+Z$12)))</f>
        <v>0</v>
      </c>
      <c r="BK84" s="55">
        <f>SUM(AN84:INDEX(AN84:BJ84,LCC總表!$E$6+LCC總表!$E$9-2018))</f>
        <v>0</v>
      </c>
    </row>
    <row r="85" spans="39:63">
      <c r="AM85" s="52" t="s">
        <v>106</v>
      </c>
      <c r="AN85" s="55">
        <f>((LCC總表!$W$27*(LCC總表!$W$29/100))*LCC總表!$W$30)</f>
        <v>0</v>
      </c>
      <c r="AO85" s="55">
        <f>((LCC總表!$W$27*(LCC總表!$W$29/100))*(LCC總表!$W$30*(1+E$12)))</f>
        <v>0</v>
      </c>
      <c r="AP85" s="55">
        <f>((LCC總表!$W$27*(LCC總表!$W$29/100))*(LCC總表!$W$30*(1+F$12)))</f>
        <v>0</v>
      </c>
      <c r="AQ85" s="55">
        <f>((LCC總表!$W$27*(LCC總表!$W$29/100))*(LCC總表!$W$30*(1+G$12)))</f>
        <v>0</v>
      </c>
      <c r="AR85" s="55">
        <f>((LCC總表!$W$27*(LCC總表!$W$29/100))*(LCC總表!$W$30*(1+H$12)))</f>
        <v>0</v>
      </c>
      <c r="AS85" s="55">
        <f>((LCC總表!$W$27*(LCC總表!$W$29/100))*(LCC總表!$W$30*(1+I$12)))</f>
        <v>0</v>
      </c>
      <c r="AT85" s="55">
        <f>((LCC總表!$W$27*(LCC總表!$W$29/100))*(LCC總表!$W$30*(1+J$12)))</f>
        <v>0</v>
      </c>
      <c r="AU85" s="55">
        <f>((LCC總表!$W$27*(LCC總表!$W$29/100))*(LCC總表!$W$30*(1+K$12)))</f>
        <v>0</v>
      </c>
      <c r="AV85" s="55">
        <f>((LCC總表!$W$27*(LCC總表!$W$29/100))*(LCC總表!$W$30*(1+L$12)))</f>
        <v>0</v>
      </c>
      <c r="AW85" s="55">
        <f>((LCC總表!$W$27*(LCC總表!$W$29/100))*(LCC總表!$W$30*(1+M$12)))</f>
        <v>0</v>
      </c>
      <c r="AX85" s="55">
        <f>((LCC總表!$W$27*(LCC總表!$W$29/100))*(LCC總表!$W$30*(1+N$12)))</f>
        <v>0</v>
      </c>
      <c r="AY85" s="55">
        <f>((LCC總表!$W$27*(LCC總表!$W$29/100))*(LCC總表!$W$30*(1+O$12)))</f>
        <v>0</v>
      </c>
      <c r="AZ85" s="55">
        <f>((LCC總表!$W$27*(LCC總表!$W$29/100))*(LCC總表!$W$30*(1+P$12)))</f>
        <v>0</v>
      </c>
      <c r="BA85" s="55">
        <f>((LCC總表!$W$27*(LCC總表!$W$29/100))*(LCC總表!$W$30*(1+Q$12)))</f>
        <v>0</v>
      </c>
      <c r="BB85" s="55">
        <f>((LCC總表!$W$27*(LCC總表!$W$29/100))*(LCC總表!$W$30*(1+R$12)))</f>
        <v>0</v>
      </c>
      <c r="BC85" s="55">
        <f>((LCC總表!$W$27*(LCC總表!$W$29/100))*(LCC總表!$W$30*(1+S$12)))</f>
        <v>0</v>
      </c>
      <c r="BD85" s="55">
        <f>((LCC總表!$W$27*(LCC總表!$W$29/100))*(LCC總表!$W$30*(1+T$12)))</f>
        <v>0</v>
      </c>
      <c r="BE85" s="55">
        <f>((LCC總表!$W$27*(LCC總表!$W$29/100))*(LCC總表!$W$30*(1+U$12)))</f>
        <v>0</v>
      </c>
      <c r="BF85" s="55">
        <f>((LCC總表!$W$27*(LCC總表!$W$29/100))*(LCC總表!$W$30*(1+V$12)))</f>
        <v>0</v>
      </c>
      <c r="BG85" s="55">
        <f>((LCC總表!$W$27*(LCC總表!$W$29/100))*(LCC總表!$W$30*(1+W$12)))</f>
        <v>0</v>
      </c>
      <c r="BH85" s="55">
        <f>((LCC總表!$W$27*(LCC總表!$W$29/100))*(LCC總表!$W$30*(1+X$12)))</f>
        <v>0</v>
      </c>
      <c r="BI85" s="55">
        <f>((LCC總表!$W$27*(LCC總表!$W$29/100))*(LCC總表!$W$30*(1+Y$12)))</f>
        <v>0</v>
      </c>
      <c r="BJ85" s="55">
        <f>((LCC總表!$W$27*(LCC總表!$W$29/100))*(LCC總表!$W$30*(1+Z$12)))</f>
        <v>0</v>
      </c>
      <c r="BK85" s="55">
        <f>SUM(AN85:INDEX(AN85:BJ85,LCC總表!$E$6+LCC總表!$E$9-2018))</f>
        <v>0</v>
      </c>
    </row>
    <row r="87" spans="39:63">
      <c r="AM87" s="53" t="s">
        <v>85</v>
      </c>
      <c r="AN87" s="51">
        <v>2018</v>
      </c>
      <c r="AO87" s="51">
        <v>2019</v>
      </c>
      <c r="AP87" s="51">
        <v>2020</v>
      </c>
      <c r="AQ87" s="51">
        <v>2021</v>
      </c>
      <c r="AR87" s="51">
        <v>2022</v>
      </c>
      <c r="AS87" s="51">
        <v>2023</v>
      </c>
      <c r="AT87" s="51">
        <v>2024</v>
      </c>
      <c r="AU87" s="51">
        <v>2025</v>
      </c>
      <c r="AV87" s="51">
        <v>2026</v>
      </c>
      <c r="AW87" s="51">
        <v>2027</v>
      </c>
      <c r="AX87" s="51">
        <v>2028</v>
      </c>
      <c r="AY87" s="51">
        <v>2029</v>
      </c>
      <c r="AZ87" s="51">
        <v>2030</v>
      </c>
      <c r="BA87" s="51">
        <v>2031</v>
      </c>
      <c r="BB87" s="51">
        <v>2032</v>
      </c>
      <c r="BC87" s="51">
        <v>2033</v>
      </c>
      <c r="BD87" s="51">
        <v>2034</v>
      </c>
      <c r="BE87" s="51">
        <v>2035</v>
      </c>
      <c r="BF87" s="51">
        <v>2036</v>
      </c>
      <c r="BG87" s="51">
        <v>2037</v>
      </c>
      <c r="BH87" s="51">
        <v>2038</v>
      </c>
      <c r="BI87" s="51">
        <v>2039</v>
      </c>
      <c r="BJ87" s="51">
        <v>2040</v>
      </c>
      <c r="BK87" s="66" t="s">
        <v>159</v>
      </c>
    </row>
    <row r="88" spans="39:63">
      <c r="AM88" s="52" t="s">
        <v>97</v>
      </c>
      <c r="AN88" s="55">
        <f>IF($AN$87&gt;=LCC總表!$E$9,LCC總表!$E$31,0)</f>
        <v>0</v>
      </c>
      <c r="AO88" s="55">
        <f>IF(AO$63&gt;=LCC總表!$E$9,AO40/(1+LCC總表!$E$7*0.01)^(AO$63-LCC總表!$E$9+1),0)</f>
        <v>0</v>
      </c>
      <c r="AP88" s="55">
        <f>IF(AP$63&gt;=LCC總表!$E$9,AP40/(1+LCC總表!$E$7*0.01)^(AP$63-LCC總表!$E$9+1),0)</f>
        <v>0</v>
      </c>
      <c r="AQ88" s="55">
        <f>IF(AQ$63&gt;=LCC總表!$E$9,AQ40/(1+LCC總表!$E$7*0.01)^(AQ$63-LCC總表!$E$9+1),0)</f>
        <v>0</v>
      </c>
      <c r="AR88" s="55">
        <f>IF(AR$63&gt;=LCC總表!$E$9,AR40/(1+LCC總表!$E$7*0.01)^(AR$63-LCC總表!$E$9+1),0)</f>
        <v>0</v>
      </c>
      <c r="AS88" s="55">
        <f>IF(AS$63&gt;=LCC總表!$E$9,AS40/(1+LCC總表!$E$7*0.01)^(AS$63-LCC總表!$E$9+1),0)</f>
        <v>0</v>
      </c>
      <c r="AT88" s="55">
        <f>IF(AT$63&gt;=LCC總表!$E$9,AT40/(1+LCC總表!$E$7*0.01)^(AT$63-LCC總表!$E$9+1),0)</f>
        <v>0</v>
      </c>
      <c r="AU88" s="55">
        <f>IF(AU$63&gt;=LCC總表!$E$9,AU40/(1+LCC總表!$E$7*0.01)^(AU$63-LCC總表!$E$9+1),0)</f>
        <v>0</v>
      </c>
      <c r="AV88" s="55">
        <f>IF(AV$63&gt;=LCC總表!$E$9,AV40/(1+LCC總表!$E$7*0.01)^(AV$63-LCC總表!$E$9+1),0)</f>
        <v>0</v>
      </c>
      <c r="AW88" s="55">
        <f>IF(AW$63&gt;=LCC總表!$E$9,AW40/(1+LCC總表!$E$7*0.01)^(AW$63-LCC總表!$E$9+1),0)</f>
        <v>4367783.8892353307</v>
      </c>
      <c r="AX88" s="55">
        <f>IF(AX$63&gt;=LCC總表!$E$9,AX40/(1+LCC總表!$E$7*0.01)^(AX$63-LCC總表!$E$9+1),0)</f>
        <v>0</v>
      </c>
      <c r="AY88" s="55">
        <f>IF(AY$63&gt;=LCC總表!$E$9,AY40/(1+LCC總表!$E$7*0.01)^(AY$63-LCC總表!$E$9+1),0)</f>
        <v>0</v>
      </c>
      <c r="AZ88" s="55">
        <f>IF(AZ$63&gt;=LCC總表!$E$9,AZ40/(1+LCC總表!$E$7*0.01)^(AZ$63-LCC總表!$E$9+1),0)</f>
        <v>0</v>
      </c>
      <c r="BA88" s="55">
        <f>IF(BA$63&gt;=LCC總表!$E$9,BA40/(1+LCC總表!$E$7*0.01)^(BA$63-LCC總表!$E$9+1),0)</f>
        <v>0</v>
      </c>
      <c r="BB88" s="55">
        <f>IF(BB$63&gt;=LCC總表!$E$9,BB40/(1+LCC總表!$E$7*0.01)^(BB$63-LCC總表!$E$9+1),0)</f>
        <v>0</v>
      </c>
      <c r="BC88" s="55">
        <f>IF(BC$63&gt;=LCC總表!$E$9,BC40/(1+LCC總表!$E$7*0.01)^(BC$63-LCC總表!$E$9+1),0)</f>
        <v>0</v>
      </c>
      <c r="BD88" s="55">
        <f>IF(BD$63&gt;=LCC總表!$E$9,BD40/(1+LCC總表!$E$7*0.01)^(BD$63-LCC總表!$E$9+1),0)</f>
        <v>0</v>
      </c>
      <c r="BE88" s="55">
        <f>IF(BE$63&gt;=LCC總表!$E$9,BE40/(1+LCC總表!$E$7*0.01)^(BE$63-LCC總表!$E$9+1),0)</f>
        <v>3747126.8523112182</v>
      </c>
      <c r="BF88" s="55">
        <f>IF(BF$63&gt;=LCC總表!$E$9,BF40/(1+LCC總表!$E$7*0.01)^(BF$63-LCC總表!$E$9+1),0)</f>
        <v>0</v>
      </c>
      <c r="BG88" s="55">
        <f>IF(BG$63&gt;=LCC總表!$E$9,BG40/(1+LCC總表!$E$7*0.01)^(BG$63-LCC總表!$E$9+1),0)</f>
        <v>0</v>
      </c>
      <c r="BH88" s="55">
        <f>IF(BH$63&gt;=LCC總表!$E$9,BH40/(1+LCC總表!$E$7*0.01)^(BH$63-LCC總表!$E$9+1),0)</f>
        <v>0</v>
      </c>
      <c r="BI88" s="55">
        <f>IF(BI$63&gt;=LCC總表!$E$9,BI40/(1+LCC總表!$E$7*0.01)^(BI$63-LCC總表!$E$9+1),0)</f>
        <v>0</v>
      </c>
      <c r="BJ88" s="55">
        <f>IF(BJ$63&gt;=LCC總表!$E$9,BJ40/(1+LCC總表!$E$7*0.01)^(BJ$63-LCC總表!$E$9+1),0)</f>
        <v>0</v>
      </c>
      <c r="BK88" s="55">
        <f>SUM(AN88:INDEX(AN88:BJ88,LCC總表!$E$6+LCC總表!$E$9-2018))</f>
        <v>0</v>
      </c>
    </row>
    <row r="89" spans="39:63">
      <c r="AM89" s="52" t="s">
        <v>98</v>
      </c>
      <c r="AN89" s="55">
        <f>IF($AN$87&gt;=LCC總表!$E$9,LCC總表!$G$31,0)</f>
        <v>0</v>
      </c>
      <c r="AO89" s="55">
        <f>IF(AO$63&gt;=LCC總表!$E$9,AO41/(1+LCC總表!$E$7*0.01)^(AO$63-LCC總表!$E$9+1),0)</f>
        <v>0</v>
      </c>
      <c r="AP89" s="55">
        <f>IF(AP$63&gt;=LCC總表!$E$9,AP41/(1+LCC總表!$E$7*0.01)^(AP$63-LCC總表!$E$9+1),0)</f>
        <v>0</v>
      </c>
      <c r="AQ89" s="55">
        <f>IF(AQ$63&gt;=LCC總表!$E$9,AQ41/(1+LCC總表!$E$7*0.01)^(AQ$63-LCC總表!$E$9+1),0)</f>
        <v>0</v>
      </c>
      <c r="AR89" s="55">
        <f>IF(AR$63&gt;=LCC總表!$E$9,AR41/(1+LCC總表!$E$7*0.01)^(AR$63-LCC總表!$E$9+1),0)</f>
        <v>0</v>
      </c>
      <c r="AS89" s="55">
        <f>IF(AS$63&gt;=LCC總表!$E$9,AS41/(1+LCC總表!$E$7*0.01)^(AS$63-LCC總表!$E$9+1),0)</f>
        <v>0</v>
      </c>
      <c r="AT89" s="55">
        <f>IF(AT$63&gt;=LCC總表!$E$9,AT41/(1+LCC總表!$E$7*0.01)^(AT$63-LCC總表!$E$9+1),0)</f>
        <v>0</v>
      </c>
      <c r="AU89" s="55">
        <f>IF(AU$63&gt;=LCC總表!$E$9,AU41/(1+LCC總表!$E$7*0.01)^(AU$63-LCC總表!$E$9+1),0)</f>
        <v>0</v>
      </c>
      <c r="AV89" s="55">
        <f>IF(AV$63&gt;=LCC總表!$E$9,AV41/(1+LCC總表!$E$7*0.01)^(AV$63-LCC總表!$E$9+1),0)</f>
        <v>0</v>
      </c>
      <c r="AW89" s="55">
        <f>IF(AW$63&gt;=LCC總表!$E$9,AW41/(1+LCC總表!$E$7*0.01)^(AW$63-LCC總表!$E$9+1),0)</f>
        <v>2168829.9627339686</v>
      </c>
      <c r="AX89" s="55">
        <f>IF(AX$63&gt;=LCC總表!$E$9,AX41/(1+LCC總表!$E$7*0.01)^(AX$63-LCC總表!$E$9+1),0)</f>
        <v>0</v>
      </c>
      <c r="AY89" s="55">
        <f>IF(AY$63&gt;=LCC總表!$E$9,AY41/(1+LCC總表!$E$7*0.01)^(AY$63-LCC總表!$E$9+1),0)</f>
        <v>0</v>
      </c>
      <c r="AZ89" s="55">
        <f>IF(AZ$63&gt;=LCC總表!$E$9,AZ41/(1+LCC總表!$E$7*0.01)^(AZ$63-LCC總表!$E$9+1),0)</f>
        <v>0</v>
      </c>
      <c r="BA89" s="55">
        <f>IF(BA$63&gt;=LCC總表!$E$9,BA41/(1+LCC總表!$E$7*0.01)^(BA$63-LCC總表!$E$9+1),0)</f>
        <v>0</v>
      </c>
      <c r="BB89" s="55">
        <f>IF(BB$63&gt;=LCC總表!$E$9,BB41/(1+LCC總表!$E$7*0.01)^(BB$63-LCC總表!$E$9+1),0)</f>
        <v>0</v>
      </c>
      <c r="BC89" s="55">
        <f>IF(BC$63&gt;=LCC總表!$E$9,BC41/(1+LCC總表!$E$7*0.01)^(BC$63-LCC總表!$E$9+1),0)</f>
        <v>0</v>
      </c>
      <c r="BD89" s="55">
        <f>IF(BD$63&gt;=LCC總表!$E$9,BD41/(1+LCC總表!$E$7*0.01)^(BD$63-LCC總表!$E$9+1),0)</f>
        <v>0</v>
      </c>
      <c r="BE89" s="55">
        <f>IF(BE$63&gt;=LCC總表!$E$9,BE41/(1+LCC總表!$E$7*0.01)^(BE$63-LCC總表!$E$9+1),0)</f>
        <v>1860641.7344701474</v>
      </c>
      <c r="BF89" s="55">
        <f>IF(BF$63&gt;=LCC總表!$E$9,BF41/(1+LCC總表!$E$7*0.01)^(BF$63-LCC總表!$E$9+1),0)</f>
        <v>0</v>
      </c>
      <c r="BG89" s="55">
        <f>IF(BG$63&gt;=LCC總表!$E$9,BG41/(1+LCC總表!$E$7*0.01)^(BG$63-LCC總表!$E$9+1),0)</f>
        <v>0</v>
      </c>
      <c r="BH89" s="55">
        <f>IF(BH$63&gt;=LCC總表!$E$9,BH41/(1+LCC總表!$E$7*0.01)^(BH$63-LCC總表!$E$9+1),0)</f>
        <v>0</v>
      </c>
      <c r="BI89" s="55">
        <f>IF(BI$63&gt;=LCC總表!$E$9,BI41/(1+LCC總表!$E$7*0.01)^(BI$63-LCC總表!$E$9+1),0)</f>
        <v>0</v>
      </c>
      <c r="BJ89" s="55">
        <f>IF(BJ$63&gt;=LCC總表!$E$9,BJ41/(1+LCC總表!$E$7*0.01)^(BJ$63-LCC總表!$E$9+1),0)</f>
        <v>0</v>
      </c>
      <c r="BK89" s="55">
        <f>SUM(AN89:INDEX(AN89:BJ89,LCC總表!$E$6+LCC總表!$E$9-2018))</f>
        <v>0</v>
      </c>
    </row>
    <row r="90" spans="39:63">
      <c r="AM90" s="52" t="s">
        <v>99</v>
      </c>
      <c r="AN90" s="55">
        <f>IF($AN$87&gt;=LCC總表!$E$9,LCC總表!$I$31,0)</f>
        <v>0</v>
      </c>
      <c r="AO90" s="55">
        <f>IF(AO$63&gt;=LCC總表!$E$9,AO42/(1+LCC總表!$E$7*0.01)^(AO$63-LCC總表!$E$9+1),0)</f>
        <v>0</v>
      </c>
      <c r="AP90" s="55">
        <f>IF(AP$63&gt;=LCC總表!$E$9,AP42/(1+LCC總表!$E$7*0.01)^(AP$63-LCC總表!$E$9+1),0)</f>
        <v>0</v>
      </c>
      <c r="AQ90" s="55">
        <f>IF(AQ$63&gt;=LCC總表!$E$9,AQ42/(1+LCC總表!$E$7*0.01)^(AQ$63-LCC總表!$E$9+1),0)</f>
        <v>0</v>
      </c>
      <c r="AR90" s="55">
        <f>IF(AR$63&gt;=LCC總表!$E$9,AR42/(1+LCC總表!$E$7*0.01)^(AR$63-LCC總表!$E$9+1),0)</f>
        <v>0</v>
      </c>
      <c r="AS90" s="55">
        <f>IF(AS$63&gt;=LCC總表!$E$9,AS42/(1+LCC總表!$E$7*0.01)^(AS$63-LCC總表!$E$9+1),0)</f>
        <v>0</v>
      </c>
      <c r="AT90" s="55">
        <f>IF(AT$63&gt;=LCC總表!$E$9,AT42/(1+LCC總表!$E$7*0.01)^(AT$63-LCC總表!$E$9+1),0)</f>
        <v>0</v>
      </c>
      <c r="AU90" s="55">
        <f>IF(AU$63&gt;=LCC總表!$E$9,AU42/(1+LCC總表!$E$7*0.01)^(AU$63-LCC總表!$E$9+1),0)</f>
        <v>0</v>
      </c>
      <c r="AV90" s="55">
        <f>IF(AV$63&gt;=LCC總表!$E$9,AV42/(1+LCC總表!$E$7*0.01)^(AV$63-LCC總表!$E$9+1),0)</f>
        <v>0</v>
      </c>
      <c r="AW90" s="55">
        <f>IF(AW$63&gt;=LCC總表!$E$9,AW42/(1+LCC總表!$E$7*0.01)^(AW$63-LCC總表!$E$9+1),0)</f>
        <v>903679.33187498362</v>
      </c>
      <c r="AX90" s="55">
        <f>IF(AX$63&gt;=LCC總表!$E$9,AX42/(1+LCC總表!$E$7*0.01)^(AX$63-LCC總表!$E$9+1),0)</f>
        <v>0</v>
      </c>
      <c r="AY90" s="55">
        <f>IF(AY$63&gt;=LCC總表!$E$9,AY42/(1+LCC總表!$E$7*0.01)^(AY$63-LCC總表!$E$9+1),0)</f>
        <v>0</v>
      </c>
      <c r="AZ90" s="55">
        <f>IF(AZ$63&gt;=LCC總表!$E$9,AZ42/(1+LCC總表!$E$7*0.01)^(AZ$63-LCC總表!$E$9+1),0)</f>
        <v>0</v>
      </c>
      <c r="BA90" s="55">
        <f>IF(BA$63&gt;=LCC總表!$E$9,BA42/(1+LCC總表!$E$7*0.01)^(BA$63-LCC總表!$E$9+1),0)</f>
        <v>0</v>
      </c>
      <c r="BB90" s="55">
        <f>IF(BB$63&gt;=LCC總表!$E$9,BB42/(1+LCC總表!$E$7*0.01)^(BB$63-LCC總表!$E$9+1),0)</f>
        <v>0</v>
      </c>
      <c r="BC90" s="55">
        <f>IF(BC$63&gt;=LCC總表!$E$9,BC42/(1+LCC總表!$E$7*0.01)^(BC$63-LCC總表!$E$9+1),0)</f>
        <v>0</v>
      </c>
      <c r="BD90" s="55">
        <f>IF(BD$63&gt;=LCC總表!$E$9,BD42/(1+LCC總表!$E$7*0.01)^(BD$63-LCC總表!$E$9+1),0)</f>
        <v>0</v>
      </c>
      <c r="BE90" s="55">
        <f>IF(BE$63&gt;=LCC總表!$E$9,BE42/(1+LCC總表!$E$7*0.01)^(BE$63-LCC總表!$E$9+1),0)</f>
        <v>775267.54441603913</v>
      </c>
      <c r="BF90" s="55">
        <f>IF(BF$63&gt;=LCC總表!$E$9,BF42/(1+LCC總表!$E$7*0.01)^(BF$63-LCC總表!$E$9+1),0)</f>
        <v>0</v>
      </c>
      <c r="BG90" s="55">
        <f>IF(BG$63&gt;=LCC總表!$E$9,BG42/(1+LCC總表!$E$7*0.01)^(BG$63-LCC總表!$E$9+1),0)</f>
        <v>0</v>
      </c>
      <c r="BH90" s="55">
        <f>IF(BH$63&gt;=LCC總表!$E$9,BH42/(1+LCC總表!$E$7*0.01)^(BH$63-LCC總表!$E$9+1),0)</f>
        <v>0</v>
      </c>
      <c r="BI90" s="55">
        <f>IF(BI$63&gt;=LCC總表!$E$9,BI42/(1+LCC總表!$E$7*0.01)^(BI$63-LCC總表!$E$9+1),0)</f>
        <v>0</v>
      </c>
      <c r="BJ90" s="55">
        <f>IF(BJ$63&gt;=LCC總表!$E$9,BJ42/(1+LCC總表!$E$7*0.01)^(BJ$63-LCC總表!$E$9+1),0)</f>
        <v>0</v>
      </c>
      <c r="BK90" s="55">
        <f>SUM(AN90:INDEX(AN90:BJ90,LCC總表!$E$6+LCC總表!$E$9-2018))</f>
        <v>0</v>
      </c>
    </row>
    <row r="91" spans="39:63">
      <c r="AM91" s="52" t="s">
        <v>100</v>
      </c>
      <c r="AN91" s="55">
        <f>IF($AN$87&gt;=LCC總表!$E$9,LCC總表!$K$31,0)</f>
        <v>0</v>
      </c>
      <c r="AO91" s="55">
        <f>IF(AO$63&gt;=LCC總表!$E$9,AO43/(1+LCC總表!$E$7*0.01)^(AO$63-LCC總表!$E$9+1),0)</f>
        <v>0</v>
      </c>
      <c r="AP91" s="55">
        <f>IF(AP$63&gt;=LCC總表!$E$9,AP43/(1+LCC總表!$E$7*0.01)^(AP$63-LCC總表!$E$9+1),0)</f>
        <v>0</v>
      </c>
      <c r="AQ91" s="55">
        <f>IF(AQ$63&gt;=LCC總表!$E$9,AQ43/(1+LCC總表!$E$7*0.01)^(AQ$63-LCC總表!$E$9+1),0)</f>
        <v>0</v>
      </c>
      <c r="AR91" s="55">
        <f>IF(AR$63&gt;=LCC總表!$E$9,AR43/(1+LCC總表!$E$7*0.01)^(AR$63-LCC總表!$E$9+1),0)</f>
        <v>0</v>
      </c>
      <c r="AS91" s="55">
        <f>IF(AS$63&gt;=LCC總表!$E$9,AS43/(1+LCC總表!$E$7*0.01)^(AS$63-LCC總表!$E$9+1),0)</f>
        <v>0</v>
      </c>
      <c r="AT91" s="55">
        <f>IF(AT$63&gt;=LCC總表!$E$9,AT43/(1+LCC總表!$E$7*0.01)^(AT$63-LCC總表!$E$9+1),0)</f>
        <v>0</v>
      </c>
      <c r="AU91" s="55">
        <f>IF(AU$63&gt;=LCC總表!$E$9,AU43/(1+LCC總表!$E$7*0.01)^(AU$63-LCC總表!$E$9+1),0)</f>
        <v>0</v>
      </c>
      <c r="AV91" s="55">
        <f>IF(AV$63&gt;=LCC總表!$E$9,AV43/(1+LCC總表!$E$7*0.01)^(AV$63-LCC總表!$E$9+1),0)</f>
        <v>0</v>
      </c>
      <c r="AW91" s="55">
        <f>IF(AW$63&gt;=LCC總表!$E$9,AW43/(1+LCC總表!$E$7*0.01)^(AW$63-LCC總表!$E$9+1),0)</f>
        <v>1732052.0527603857</v>
      </c>
      <c r="AX91" s="55">
        <f>IF(AX$63&gt;=LCC總表!$E$9,AX43/(1+LCC總表!$E$7*0.01)^(AX$63-LCC總表!$E$9+1),0)</f>
        <v>0</v>
      </c>
      <c r="AY91" s="55">
        <f>IF(AY$63&gt;=LCC總表!$E$9,AY43/(1+LCC總表!$E$7*0.01)^(AY$63-LCC總表!$E$9+1),0)</f>
        <v>0</v>
      </c>
      <c r="AZ91" s="55">
        <f>IF(AZ$63&gt;=LCC總表!$E$9,AZ43/(1+LCC總表!$E$7*0.01)^(AZ$63-LCC總表!$E$9+1),0)</f>
        <v>0</v>
      </c>
      <c r="BA91" s="55">
        <f>IF(BA$63&gt;=LCC總表!$E$9,BA43/(1+LCC總表!$E$7*0.01)^(BA$63-LCC總表!$E$9+1),0)</f>
        <v>0</v>
      </c>
      <c r="BB91" s="55">
        <f>IF(BB$63&gt;=LCC總表!$E$9,BB43/(1+LCC總表!$E$7*0.01)^(BB$63-LCC總表!$E$9+1),0)</f>
        <v>0</v>
      </c>
      <c r="BC91" s="55">
        <f>IF(BC$63&gt;=LCC總表!$E$9,BC43/(1+LCC總表!$E$7*0.01)^(BC$63-LCC總表!$E$9+1),0)</f>
        <v>0</v>
      </c>
      <c r="BD91" s="55">
        <f>IF(BD$63&gt;=LCC總表!$E$9,BD43/(1+LCC總表!$E$7*0.01)^(BD$63-LCC總表!$E$9+1),0)</f>
        <v>0</v>
      </c>
      <c r="BE91" s="55">
        <f>IF(BE$63&gt;=LCC總表!$E$9,BE43/(1+LCC總表!$E$7*0.01)^(BE$63-LCC總表!$E$9+1),0)</f>
        <v>1485929.4601307421</v>
      </c>
      <c r="BF91" s="55">
        <f>IF(BF$63&gt;=LCC總表!$E$9,BF43/(1+LCC總表!$E$7*0.01)^(BF$63-LCC總表!$E$9+1),0)</f>
        <v>0</v>
      </c>
      <c r="BG91" s="55">
        <f>IF(BG$63&gt;=LCC總表!$E$9,BG43/(1+LCC總表!$E$7*0.01)^(BG$63-LCC總表!$E$9+1),0)</f>
        <v>0</v>
      </c>
      <c r="BH91" s="55">
        <f>IF(BH$63&gt;=LCC總表!$E$9,BH43/(1+LCC總表!$E$7*0.01)^(BH$63-LCC總表!$E$9+1),0)</f>
        <v>0</v>
      </c>
      <c r="BI91" s="55">
        <f>IF(BI$63&gt;=LCC總表!$E$9,BI43/(1+LCC總表!$E$7*0.01)^(BI$63-LCC總表!$E$9+1),0)</f>
        <v>0</v>
      </c>
      <c r="BJ91" s="55">
        <f>IF(BJ$63&gt;=LCC總表!$E$9,BJ43/(1+LCC總表!$E$7*0.01)^(BJ$63-LCC總表!$E$9+1),0)</f>
        <v>0</v>
      </c>
      <c r="BK91" s="55">
        <f>SUM(AN91:INDEX(AN91:BJ91,LCC總表!$E$6+LCC總表!$E$9-2018))</f>
        <v>0</v>
      </c>
    </row>
    <row r="92" spans="39:63">
      <c r="AM92" s="52" t="s">
        <v>101</v>
      </c>
      <c r="AN92" s="55">
        <f>IF($AN$87&gt;=LCC總表!$E$9,LCC總表!$M$31,0)</f>
        <v>0</v>
      </c>
      <c r="AO92" s="55">
        <f>IF(AO$63&gt;=LCC總表!$E$9,AO44/(1+LCC總表!$E$7*0.01)^(AO$63-LCC總表!$E$9+1),0)</f>
        <v>0</v>
      </c>
      <c r="AP92" s="55">
        <f>IF(AP$63&gt;=LCC總表!$E$9,AP44/(1+LCC總表!$E$7*0.01)^(AP$63-LCC總表!$E$9+1),0)</f>
        <v>0</v>
      </c>
      <c r="AQ92" s="55">
        <f>IF(AQ$63&gt;=LCC總表!$E$9,AQ44/(1+LCC總表!$E$7*0.01)^(AQ$63-LCC總表!$E$9+1),0)</f>
        <v>0</v>
      </c>
      <c r="AR92" s="55">
        <f>IF(AR$63&gt;=LCC總表!$E$9,AR44/(1+LCC總表!$E$7*0.01)^(AR$63-LCC總表!$E$9+1),0)</f>
        <v>0</v>
      </c>
      <c r="AS92" s="55">
        <f>IF(AS$63&gt;=LCC總表!$E$9,AS44/(1+LCC總表!$E$7*0.01)^(AS$63-LCC總表!$E$9+1),0)</f>
        <v>0</v>
      </c>
      <c r="AT92" s="55">
        <f>IF(AT$63&gt;=LCC總表!$E$9,AT44/(1+LCC總表!$E$7*0.01)^(AT$63-LCC總表!$E$9+1),0)</f>
        <v>0</v>
      </c>
      <c r="AU92" s="55">
        <f>IF(AU$63&gt;=LCC總表!$E$9,AU44/(1+LCC總表!$E$7*0.01)^(AU$63-LCC總表!$E$9+1),0)</f>
        <v>0</v>
      </c>
      <c r="AV92" s="55">
        <f>IF(AV$63&gt;=LCC總表!$E$9,AV44/(1+LCC總表!$E$7*0.01)^(AV$63-LCC總表!$E$9+1),0)</f>
        <v>0</v>
      </c>
      <c r="AW92" s="55">
        <f>IF(AW$63&gt;=LCC總表!$E$9,AW44/(1+LCC總表!$E$7*0.01)^(AW$63-LCC總表!$E$9+1),0)</f>
        <v>0</v>
      </c>
      <c r="AX92" s="55">
        <f>IF(AX$63&gt;=LCC總表!$E$9,AX44/(1+LCC總表!$E$7*0.01)^(AX$63-LCC總表!$E$9+1),0)</f>
        <v>0</v>
      </c>
      <c r="AY92" s="55">
        <f>IF(AY$63&gt;=LCC總表!$E$9,AY44/(1+LCC總表!$E$7*0.01)^(AY$63-LCC總表!$E$9+1),0)</f>
        <v>0</v>
      </c>
      <c r="AZ92" s="55">
        <f>IF(AZ$63&gt;=LCC總表!$E$9,AZ44/(1+LCC總表!$E$7*0.01)^(AZ$63-LCC總表!$E$9+1),0)</f>
        <v>0</v>
      </c>
      <c r="BA92" s="55">
        <f>IF(BA$63&gt;=LCC總表!$E$9,BA44/(1+LCC總表!$E$7*0.01)^(BA$63-LCC總表!$E$9+1),0)</f>
        <v>0</v>
      </c>
      <c r="BB92" s="55">
        <f>IF(BB$63&gt;=LCC總表!$E$9,BB44/(1+LCC總表!$E$7*0.01)^(BB$63-LCC總表!$E$9+1),0)</f>
        <v>0</v>
      </c>
      <c r="BC92" s="55">
        <f>IF(BC$63&gt;=LCC總表!$E$9,BC44/(1+LCC總表!$E$7*0.01)^(BC$63-LCC總表!$E$9+1),0)</f>
        <v>0</v>
      </c>
      <c r="BD92" s="55">
        <f>IF(BD$63&gt;=LCC總表!$E$9,BD44/(1+LCC總表!$E$7*0.01)^(BD$63-LCC總表!$E$9+1),0)</f>
        <v>0</v>
      </c>
      <c r="BE92" s="55">
        <f>IF(BE$63&gt;=LCC總表!$E$9,BE44/(1+LCC總表!$E$7*0.01)^(BE$63-LCC總表!$E$9+1),0)</f>
        <v>0</v>
      </c>
      <c r="BF92" s="55">
        <f>IF(BF$63&gt;=LCC總表!$E$9,BF44/(1+LCC總表!$E$7*0.01)^(BF$63-LCC總表!$E$9+1),0)</f>
        <v>0</v>
      </c>
      <c r="BG92" s="55">
        <f>IF(BG$63&gt;=LCC總表!$E$9,BG44/(1+LCC總表!$E$7*0.01)^(BG$63-LCC總表!$E$9+1),0)</f>
        <v>0</v>
      </c>
      <c r="BH92" s="55">
        <f>IF(BH$63&gt;=LCC總表!$E$9,BH44/(1+LCC總表!$E$7*0.01)^(BH$63-LCC總表!$E$9+1),0)</f>
        <v>0</v>
      </c>
      <c r="BI92" s="55">
        <f>IF(BI$63&gt;=LCC總表!$E$9,BI44/(1+LCC總表!$E$7*0.01)^(BI$63-LCC總表!$E$9+1),0)</f>
        <v>0</v>
      </c>
      <c r="BJ92" s="55">
        <f>IF(BJ$63&gt;=LCC總表!$E$9,BJ44/(1+LCC總表!$E$7*0.01)^(BJ$63-LCC總表!$E$9+1),0)</f>
        <v>0</v>
      </c>
      <c r="BK92" s="55">
        <f>SUM(AN92:INDEX(AN92:BJ92,LCC總表!$E$6+LCC總表!$E$9-2018))</f>
        <v>0</v>
      </c>
    </row>
    <row r="93" spans="39:63">
      <c r="AM93" s="52" t="s">
        <v>102</v>
      </c>
      <c r="AN93" s="55">
        <f>IF($AN$87&gt;=LCC總表!$E$9,LCC總表!$O$31,0)</f>
        <v>0</v>
      </c>
      <c r="AO93" s="55">
        <f>IF(AO$63&gt;=LCC總表!$E$9,AO45/(1+LCC總表!$E$7*0.01)^(AO$63-LCC總表!$E$9+1),0)</f>
        <v>0</v>
      </c>
      <c r="AP93" s="55">
        <f>IF(AP$63&gt;=LCC總表!$E$9,AP45/(1+LCC總表!$E$7*0.01)^(AP$63-LCC總表!$E$9+1),0)</f>
        <v>0</v>
      </c>
      <c r="AQ93" s="55">
        <f>IF(AQ$63&gt;=LCC總表!$E$9,AQ45/(1+LCC總表!$E$7*0.01)^(AQ$63-LCC總表!$E$9+1),0)</f>
        <v>0</v>
      </c>
      <c r="AR93" s="55">
        <f>IF(AR$63&gt;=LCC總表!$E$9,AR45/(1+LCC總表!$E$7*0.01)^(AR$63-LCC總表!$E$9+1),0)</f>
        <v>0</v>
      </c>
      <c r="AS93" s="55">
        <f>IF(AS$63&gt;=LCC總表!$E$9,AS45/(1+LCC總表!$E$7*0.01)^(AS$63-LCC總表!$E$9+1),0)</f>
        <v>0</v>
      </c>
      <c r="AT93" s="55">
        <f>IF(AT$63&gt;=LCC總表!$E$9,AT45/(1+LCC總表!$E$7*0.01)^(AT$63-LCC總表!$E$9+1),0)</f>
        <v>0</v>
      </c>
      <c r="AU93" s="55">
        <f>IF(AU$63&gt;=LCC總表!$E$9,AU45/(1+LCC總表!$E$7*0.01)^(AU$63-LCC總表!$E$9+1),0)</f>
        <v>0</v>
      </c>
      <c r="AV93" s="55">
        <f>IF(AV$63&gt;=LCC總表!$E$9,AV45/(1+LCC總表!$E$7*0.01)^(AV$63-LCC總表!$E$9+1),0)</f>
        <v>0</v>
      </c>
      <c r="AW93" s="55">
        <f>IF(AW$63&gt;=LCC總表!$E$9,AW45/(1+LCC總表!$E$7*0.01)^(AW$63-LCC總表!$E$9+1),0)</f>
        <v>0</v>
      </c>
      <c r="AX93" s="55">
        <f>IF(AX$63&gt;=LCC總表!$E$9,AX45/(1+LCC總表!$E$7*0.01)^(AX$63-LCC總表!$E$9+1),0)</f>
        <v>0</v>
      </c>
      <c r="AY93" s="55">
        <f>IF(AY$63&gt;=LCC總表!$E$9,AY45/(1+LCC總表!$E$7*0.01)^(AY$63-LCC總表!$E$9+1),0)</f>
        <v>0</v>
      </c>
      <c r="AZ93" s="55">
        <f>IF(AZ$63&gt;=LCC總表!$E$9,AZ45/(1+LCC總表!$E$7*0.01)^(AZ$63-LCC總表!$E$9+1),0)</f>
        <v>0</v>
      </c>
      <c r="BA93" s="55">
        <f>IF(BA$63&gt;=LCC總表!$E$9,BA45/(1+LCC總表!$E$7*0.01)^(BA$63-LCC總表!$E$9+1),0)</f>
        <v>0</v>
      </c>
      <c r="BB93" s="55">
        <f>IF(BB$63&gt;=LCC總表!$E$9,BB45/(1+LCC總表!$E$7*0.01)^(BB$63-LCC總表!$E$9+1),0)</f>
        <v>0</v>
      </c>
      <c r="BC93" s="55">
        <f>IF(BC$63&gt;=LCC總表!$E$9,BC45/(1+LCC總表!$E$7*0.01)^(BC$63-LCC總表!$E$9+1),0)</f>
        <v>0</v>
      </c>
      <c r="BD93" s="55">
        <f>IF(BD$63&gt;=LCC總表!$E$9,BD45/(1+LCC總表!$E$7*0.01)^(BD$63-LCC總表!$E$9+1),0)</f>
        <v>0</v>
      </c>
      <c r="BE93" s="55">
        <f>IF(BE$63&gt;=LCC總表!$E$9,BE45/(1+LCC總表!$E$7*0.01)^(BE$63-LCC總表!$E$9+1),0)</f>
        <v>0</v>
      </c>
      <c r="BF93" s="55">
        <f>IF(BF$63&gt;=LCC總表!$E$9,BF45/(1+LCC總表!$E$7*0.01)^(BF$63-LCC總表!$E$9+1),0)</f>
        <v>0</v>
      </c>
      <c r="BG93" s="55">
        <f>IF(BG$63&gt;=LCC總表!$E$9,BG45/(1+LCC總表!$E$7*0.01)^(BG$63-LCC總表!$E$9+1),0)</f>
        <v>0</v>
      </c>
      <c r="BH93" s="55">
        <f>IF(BH$63&gt;=LCC總表!$E$9,BH45/(1+LCC總表!$E$7*0.01)^(BH$63-LCC總表!$E$9+1),0)</f>
        <v>0</v>
      </c>
      <c r="BI93" s="55">
        <f>IF(BI$63&gt;=LCC總表!$E$9,BI45/(1+LCC總表!$E$7*0.01)^(BI$63-LCC總表!$E$9+1),0)</f>
        <v>0</v>
      </c>
      <c r="BJ93" s="55">
        <f>IF(BJ$63&gt;=LCC總表!$E$9,BJ45/(1+LCC總表!$E$7*0.01)^(BJ$63-LCC總表!$E$9+1),0)</f>
        <v>0</v>
      </c>
      <c r="BK93" s="55">
        <f>SUM(AN93:INDEX(AN93:BJ93,LCC總表!$E$6+LCC總表!$E$9-2018))</f>
        <v>0</v>
      </c>
    </row>
    <row r="94" spans="39:63">
      <c r="AM94" s="52" t="s">
        <v>103</v>
      </c>
      <c r="AN94" s="55">
        <f>IF($AN$87&gt;=LCC總表!$E$9,LCC總表!$Q$31,0)</f>
        <v>0</v>
      </c>
      <c r="AO94" s="55">
        <f>IF(AO$63&gt;=LCC總表!$E$9,AO46/(1+LCC總表!$E$7*0.01)^(AO$63-LCC總表!$E$9+1),0)</f>
        <v>0</v>
      </c>
      <c r="AP94" s="55">
        <f>IF(AP$63&gt;=LCC總表!$E$9,AP46/(1+LCC總表!$E$7*0.01)^(AP$63-LCC總表!$E$9+1),0)</f>
        <v>0</v>
      </c>
      <c r="AQ94" s="55">
        <f>IF(AQ$63&gt;=LCC總表!$E$9,AQ46/(1+LCC總表!$E$7*0.01)^(AQ$63-LCC總表!$E$9+1),0)</f>
        <v>0</v>
      </c>
      <c r="AR94" s="55">
        <f>IF(AR$63&gt;=LCC總表!$E$9,AR46/(1+LCC總表!$E$7*0.01)^(AR$63-LCC總表!$E$9+1),0)</f>
        <v>0</v>
      </c>
      <c r="AS94" s="55">
        <f>IF(AS$63&gt;=LCC總表!$E$9,AS46/(1+LCC總表!$E$7*0.01)^(AS$63-LCC總表!$E$9+1),0)</f>
        <v>0</v>
      </c>
      <c r="AT94" s="55">
        <f>IF(AT$63&gt;=LCC總表!$E$9,AT46/(1+LCC總表!$E$7*0.01)^(AT$63-LCC總表!$E$9+1),0)</f>
        <v>0</v>
      </c>
      <c r="AU94" s="55">
        <f>IF(AU$63&gt;=LCC總表!$E$9,AU46/(1+LCC總表!$E$7*0.01)^(AU$63-LCC總表!$E$9+1),0)</f>
        <v>0</v>
      </c>
      <c r="AV94" s="55">
        <f>IF(AV$63&gt;=LCC總表!$E$9,AV46/(1+LCC總表!$E$7*0.01)^(AV$63-LCC總表!$E$9+1),0)</f>
        <v>0</v>
      </c>
      <c r="AW94" s="55">
        <f>IF(AW$63&gt;=LCC總表!$E$9,AW46/(1+LCC總表!$E$7*0.01)^(AW$63-LCC總表!$E$9+1),0)</f>
        <v>0</v>
      </c>
      <c r="AX94" s="55">
        <f>IF(AX$63&gt;=LCC總表!$E$9,AX46/(1+LCC總表!$E$7*0.01)^(AX$63-LCC總表!$E$9+1),0)</f>
        <v>0</v>
      </c>
      <c r="AY94" s="55">
        <f>IF(AY$63&gt;=LCC總表!$E$9,AY46/(1+LCC總表!$E$7*0.01)^(AY$63-LCC總表!$E$9+1),0)</f>
        <v>0</v>
      </c>
      <c r="AZ94" s="55">
        <f>IF(AZ$63&gt;=LCC總表!$E$9,AZ46/(1+LCC總表!$E$7*0.01)^(AZ$63-LCC總表!$E$9+1),0)</f>
        <v>0</v>
      </c>
      <c r="BA94" s="55">
        <f>IF(BA$63&gt;=LCC總表!$E$9,BA46/(1+LCC總表!$E$7*0.01)^(BA$63-LCC總表!$E$9+1),0)</f>
        <v>0</v>
      </c>
      <c r="BB94" s="55">
        <f>IF(BB$63&gt;=LCC總表!$E$9,BB46/(1+LCC總表!$E$7*0.01)^(BB$63-LCC總表!$E$9+1),0)</f>
        <v>0</v>
      </c>
      <c r="BC94" s="55">
        <f>IF(BC$63&gt;=LCC總表!$E$9,BC46/(1+LCC總表!$E$7*0.01)^(BC$63-LCC總表!$E$9+1),0)</f>
        <v>0</v>
      </c>
      <c r="BD94" s="55">
        <f>IF(BD$63&gt;=LCC總表!$E$9,BD46/(1+LCC總表!$E$7*0.01)^(BD$63-LCC總表!$E$9+1),0)</f>
        <v>0</v>
      </c>
      <c r="BE94" s="55">
        <f>IF(BE$63&gt;=LCC總表!$E$9,BE46/(1+LCC總表!$E$7*0.01)^(BE$63-LCC總表!$E$9+1),0)</f>
        <v>0</v>
      </c>
      <c r="BF94" s="55">
        <f>IF(BF$63&gt;=LCC總表!$E$9,BF46/(1+LCC總表!$E$7*0.01)^(BF$63-LCC總表!$E$9+1),0)</f>
        <v>0</v>
      </c>
      <c r="BG94" s="55">
        <f>IF(BG$63&gt;=LCC總表!$E$9,BG46/(1+LCC總表!$E$7*0.01)^(BG$63-LCC總表!$E$9+1),0)</f>
        <v>0</v>
      </c>
      <c r="BH94" s="55">
        <f>IF(BH$63&gt;=LCC總表!$E$9,BH46/(1+LCC總表!$E$7*0.01)^(BH$63-LCC總表!$E$9+1),0)</f>
        <v>0</v>
      </c>
      <c r="BI94" s="55">
        <f>IF(BI$63&gt;=LCC總表!$E$9,BI46/(1+LCC總表!$E$7*0.01)^(BI$63-LCC總表!$E$9+1),0)</f>
        <v>0</v>
      </c>
      <c r="BJ94" s="55">
        <f>IF(BJ$63&gt;=LCC總表!$E$9,BJ46/(1+LCC總表!$E$7*0.01)^(BJ$63-LCC總表!$E$9+1),0)</f>
        <v>0</v>
      </c>
      <c r="BK94" s="55">
        <f>SUM(AN94:INDEX(AN94:BJ94,LCC總表!$E$6+LCC總表!$E$9-2018))</f>
        <v>0</v>
      </c>
    </row>
    <row r="95" spans="39:63">
      <c r="AM95" s="52" t="s">
        <v>104</v>
      </c>
      <c r="AN95" s="55">
        <f>IF($AN$87&gt;=LCC總表!$E$9,LCC總表!$S$31,0)</f>
        <v>0</v>
      </c>
      <c r="AO95" s="55">
        <f>IF(AO$63&gt;=LCC總表!$E$9,AO47/(1+LCC總表!$E$7*0.01)^(AO$63-LCC總表!$E$9+1),0)</f>
        <v>0</v>
      </c>
      <c r="AP95" s="55">
        <f>IF(AP$63&gt;=LCC總表!$E$9,AP47/(1+LCC總表!$E$7*0.01)^(AP$63-LCC總表!$E$9+1),0)</f>
        <v>0</v>
      </c>
      <c r="AQ95" s="55">
        <f>IF(AQ$63&gt;=LCC總表!$E$9,AQ47/(1+LCC總表!$E$7*0.01)^(AQ$63-LCC總表!$E$9+1),0)</f>
        <v>0</v>
      </c>
      <c r="AR95" s="55">
        <f>IF(AR$63&gt;=LCC總表!$E$9,AR47/(1+LCC總表!$E$7*0.01)^(AR$63-LCC總表!$E$9+1),0)</f>
        <v>0</v>
      </c>
      <c r="AS95" s="55">
        <f>IF(AS$63&gt;=LCC總表!$E$9,AS47/(1+LCC總表!$E$7*0.01)^(AS$63-LCC總表!$E$9+1),0)</f>
        <v>0</v>
      </c>
      <c r="AT95" s="55">
        <f>IF(AT$63&gt;=LCC總表!$E$9,AT47/(1+LCC總表!$E$7*0.01)^(AT$63-LCC總表!$E$9+1),0)</f>
        <v>0</v>
      </c>
      <c r="AU95" s="55">
        <f>IF(AU$63&gt;=LCC總表!$E$9,AU47/(1+LCC總表!$E$7*0.01)^(AU$63-LCC總表!$E$9+1),0)</f>
        <v>0</v>
      </c>
      <c r="AV95" s="55">
        <f>IF(AV$63&gt;=LCC總表!$E$9,AV47/(1+LCC總表!$E$7*0.01)^(AV$63-LCC總表!$E$9+1),0)</f>
        <v>0</v>
      </c>
      <c r="AW95" s="55">
        <f>IF(AW$63&gt;=LCC總表!$E$9,AW47/(1+LCC總表!$E$7*0.01)^(AW$63-LCC總表!$E$9+1),0)</f>
        <v>0</v>
      </c>
      <c r="AX95" s="55">
        <f>IF(AX$63&gt;=LCC總表!$E$9,AX47/(1+LCC總表!$E$7*0.01)^(AX$63-LCC總表!$E$9+1),0)</f>
        <v>0</v>
      </c>
      <c r="AY95" s="55">
        <f>IF(AY$63&gt;=LCC總表!$E$9,AY47/(1+LCC總表!$E$7*0.01)^(AY$63-LCC總表!$E$9+1),0)</f>
        <v>0</v>
      </c>
      <c r="AZ95" s="55">
        <f>IF(AZ$63&gt;=LCC總表!$E$9,AZ47/(1+LCC總表!$E$7*0.01)^(AZ$63-LCC總表!$E$9+1),0)</f>
        <v>0</v>
      </c>
      <c r="BA95" s="55">
        <f>IF(BA$63&gt;=LCC總表!$E$9,BA47/(1+LCC總表!$E$7*0.01)^(BA$63-LCC總表!$E$9+1),0)</f>
        <v>0</v>
      </c>
      <c r="BB95" s="55">
        <f>IF(BB$63&gt;=LCC總表!$E$9,BB47/(1+LCC總表!$E$7*0.01)^(BB$63-LCC總表!$E$9+1),0)</f>
        <v>0</v>
      </c>
      <c r="BC95" s="55">
        <f>IF(BC$63&gt;=LCC總表!$E$9,BC47/(1+LCC總表!$E$7*0.01)^(BC$63-LCC總表!$E$9+1),0)</f>
        <v>0</v>
      </c>
      <c r="BD95" s="55">
        <f>IF(BD$63&gt;=LCC總表!$E$9,BD47/(1+LCC總表!$E$7*0.01)^(BD$63-LCC總表!$E$9+1),0)</f>
        <v>0</v>
      </c>
      <c r="BE95" s="55">
        <f>IF(BE$63&gt;=LCC總表!$E$9,BE47/(1+LCC總表!$E$7*0.01)^(BE$63-LCC總表!$E$9+1),0)</f>
        <v>0</v>
      </c>
      <c r="BF95" s="55">
        <f>IF(BF$63&gt;=LCC總表!$E$9,BF47/(1+LCC總表!$E$7*0.01)^(BF$63-LCC總表!$E$9+1),0)</f>
        <v>0</v>
      </c>
      <c r="BG95" s="55">
        <f>IF(BG$63&gt;=LCC總表!$E$9,BG47/(1+LCC總表!$E$7*0.01)^(BG$63-LCC總表!$E$9+1),0)</f>
        <v>0</v>
      </c>
      <c r="BH95" s="55">
        <f>IF(BH$63&gt;=LCC總表!$E$9,BH47/(1+LCC總表!$E$7*0.01)^(BH$63-LCC總表!$E$9+1),0)</f>
        <v>0</v>
      </c>
      <c r="BI95" s="55">
        <f>IF(BI$63&gt;=LCC總表!$E$9,BI47/(1+LCC總表!$E$7*0.01)^(BI$63-LCC總表!$E$9+1),0)</f>
        <v>0</v>
      </c>
      <c r="BJ95" s="55">
        <f>IF(BJ$63&gt;=LCC總表!$E$9,BJ47/(1+LCC總表!$E$7*0.01)^(BJ$63-LCC總表!$E$9+1),0)</f>
        <v>0</v>
      </c>
      <c r="BK95" s="55">
        <f>SUM(AN95:INDEX(AN95:BJ95,LCC總表!$E$6+LCC總表!$E$9-2018))</f>
        <v>0</v>
      </c>
    </row>
    <row r="96" spans="39:63">
      <c r="AM96" s="52" t="s">
        <v>105</v>
      </c>
      <c r="AN96" s="55">
        <f>IF($AN$87&gt;=LCC總表!$E$9,LCC總表!$U$31,0)</f>
        <v>0</v>
      </c>
      <c r="AO96" s="55">
        <f>IF(AO$63&gt;=LCC總表!$E$9,AO48/(1+LCC總表!$E$7*0.01)^(AO$63-LCC總表!$E$9+1),0)</f>
        <v>0</v>
      </c>
      <c r="AP96" s="55">
        <f>IF(AP$63&gt;=LCC總表!$E$9,AP48/(1+LCC總表!$E$7*0.01)^(AP$63-LCC總表!$E$9+1),0)</f>
        <v>0</v>
      </c>
      <c r="AQ96" s="55">
        <f>IF(AQ$63&gt;=LCC總表!$E$9,AQ48/(1+LCC總表!$E$7*0.01)^(AQ$63-LCC總表!$E$9+1),0)</f>
        <v>0</v>
      </c>
      <c r="AR96" s="55">
        <f>IF(AR$63&gt;=LCC總表!$E$9,AR48/(1+LCC總表!$E$7*0.01)^(AR$63-LCC總表!$E$9+1),0)</f>
        <v>0</v>
      </c>
      <c r="AS96" s="55">
        <f>IF(AS$63&gt;=LCC總表!$E$9,AS48/(1+LCC總表!$E$7*0.01)^(AS$63-LCC總表!$E$9+1),0)</f>
        <v>0</v>
      </c>
      <c r="AT96" s="55">
        <f>IF(AT$63&gt;=LCC總表!$E$9,AT48/(1+LCC總表!$E$7*0.01)^(AT$63-LCC總表!$E$9+1),0)</f>
        <v>0</v>
      </c>
      <c r="AU96" s="55">
        <f>IF(AU$63&gt;=LCC總表!$E$9,AU48/(1+LCC總表!$E$7*0.01)^(AU$63-LCC總表!$E$9+1),0)</f>
        <v>0</v>
      </c>
      <c r="AV96" s="55">
        <f>IF(AV$63&gt;=LCC總表!$E$9,AV48/(1+LCC總表!$E$7*0.01)^(AV$63-LCC總表!$E$9+1),0)</f>
        <v>0</v>
      </c>
      <c r="AW96" s="55">
        <f>IF(AW$63&gt;=LCC總表!$E$9,AW48/(1+LCC總表!$E$7*0.01)^(AW$63-LCC總表!$E$9+1),0)</f>
        <v>0</v>
      </c>
      <c r="AX96" s="55">
        <f>IF(AX$63&gt;=LCC總表!$E$9,AX48/(1+LCC總表!$E$7*0.01)^(AX$63-LCC總表!$E$9+1),0)</f>
        <v>0</v>
      </c>
      <c r="AY96" s="55">
        <f>IF(AY$63&gt;=LCC總表!$E$9,AY48/(1+LCC總表!$E$7*0.01)^(AY$63-LCC總表!$E$9+1),0)</f>
        <v>0</v>
      </c>
      <c r="AZ96" s="55">
        <f>IF(AZ$63&gt;=LCC總表!$E$9,AZ48/(1+LCC總表!$E$7*0.01)^(AZ$63-LCC總表!$E$9+1),0)</f>
        <v>0</v>
      </c>
      <c r="BA96" s="55">
        <f>IF(BA$63&gt;=LCC總表!$E$9,BA48/(1+LCC總表!$E$7*0.01)^(BA$63-LCC總表!$E$9+1),0)</f>
        <v>0</v>
      </c>
      <c r="BB96" s="55">
        <f>IF(BB$63&gt;=LCC總表!$E$9,BB48/(1+LCC總表!$E$7*0.01)^(BB$63-LCC總表!$E$9+1),0)</f>
        <v>0</v>
      </c>
      <c r="BC96" s="55">
        <f>IF(BC$63&gt;=LCC總表!$E$9,BC48/(1+LCC總表!$E$7*0.01)^(BC$63-LCC總表!$E$9+1),0)</f>
        <v>0</v>
      </c>
      <c r="BD96" s="55">
        <f>IF(BD$63&gt;=LCC總表!$E$9,BD48/(1+LCC總表!$E$7*0.01)^(BD$63-LCC總表!$E$9+1),0)</f>
        <v>0</v>
      </c>
      <c r="BE96" s="55">
        <f>IF(BE$63&gt;=LCC總表!$E$9,BE48/(1+LCC總表!$E$7*0.01)^(BE$63-LCC總表!$E$9+1),0)</f>
        <v>0</v>
      </c>
      <c r="BF96" s="55">
        <f>IF(BF$63&gt;=LCC總表!$E$9,BF48/(1+LCC總表!$E$7*0.01)^(BF$63-LCC總表!$E$9+1),0)</f>
        <v>0</v>
      </c>
      <c r="BG96" s="55">
        <f>IF(BG$63&gt;=LCC總表!$E$9,BG48/(1+LCC總表!$E$7*0.01)^(BG$63-LCC總表!$E$9+1),0)</f>
        <v>0</v>
      </c>
      <c r="BH96" s="55">
        <f>IF(BH$63&gt;=LCC總表!$E$9,BH48/(1+LCC總表!$E$7*0.01)^(BH$63-LCC總表!$E$9+1),0)</f>
        <v>0</v>
      </c>
      <c r="BI96" s="55">
        <f>IF(BI$63&gt;=LCC總表!$E$9,BI48/(1+LCC總表!$E$7*0.01)^(BI$63-LCC總表!$E$9+1),0)</f>
        <v>0</v>
      </c>
      <c r="BJ96" s="55">
        <f>IF(BJ$63&gt;=LCC總表!$E$9,BJ48/(1+LCC總表!$E$7*0.01)^(BJ$63-LCC總表!$E$9+1),0)</f>
        <v>0</v>
      </c>
      <c r="BK96" s="55">
        <f>SUM(AN96:INDEX(AN96:BJ96,LCC總表!$E$6+LCC總表!$E$9-2018))</f>
        <v>0</v>
      </c>
    </row>
    <row r="97" spans="39:63">
      <c r="AM97" s="52" t="s">
        <v>106</v>
      </c>
      <c r="AN97" s="55">
        <f>IF($AN$87&gt;=LCC總表!$E$9,LCC總表!$W$31,0)</f>
        <v>0</v>
      </c>
      <c r="AO97" s="55">
        <f>IF(AO$63&gt;=LCC總表!$E$9,AO49/(1+LCC總表!$E$7*0.01)^(AO$63-LCC總表!$E$9+1),0)</f>
        <v>0</v>
      </c>
      <c r="AP97" s="55">
        <f>IF(AP$63&gt;=LCC總表!$E$9,AP49/(1+LCC總表!$E$7*0.01)^(AP$63-LCC總表!$E$9+1),0)</f>
        <v>0</v>
      </c>
      <c r="AQ97" s="55">
        <f>IF(AQ$63&gt;=LCC總表!$E$9,AQ49/(1+LCC總表!$E$7*0.01)^(AQ$63-LCC總表!$E$9+1),0)</f>
        <v>0</v>
      </c>
      <c r="AR97" s="55">
        <f>IF(AR$63&gt;=LCC總表!$E$9,AR49/(1+LCC總表!$E$7*0.01)^(AR$63-LCC總表!$E$9+1),0)</f>
        <v>0</v>
      </c>
      <c r="AS97" s="55">
        <f>IF(AS$63&gt;=LCC總表!$E$9,AS49/(1+LCC總表!$E$7*0.01)^(AS$63-LCC總表!$E$9+1),0)</f>
        <v>0</v>
      </c>
      <c r="AT97" s="55">
        <f>IF(AT$63&gt;=LCC總表!$E$9,AT49/(1+LCC總表!$E$7*0.01)^(AT$63-LCC總表!$E$9+1),0)</f>
        <v>0</v>
      </c>
      <c r="AU97" s="55">
        <f>IF(AU$63&gt;=LCC總表!$E$9,AU49/(1+LCC總表!$E$7*0.01)^(AU$63-LCC總表!$E$9+1),0)</f>
        <v>0</v>
      </c>
      <c r="AV97" s="55">
        <f>IF(AV$63&gt;=LCC總表!$E$9,AV49/(1+LCC總表!$E$7*0.01)^(AV$63-LCC總表!$E$9+1),0)</f>
        <v>0</v>
      </c>
      <c r="AW97" s="55">
        <f>IF(AW$63&gt;=LCC總表!$E$9,AW49/(1+LCC總表!$E$7*0.01)^(AW$63-LCC總表!$E$9+1),0)</f>
        <v>0</v>
      </c>
      <c r="AX97" s="55">
        <f>IF(AX$63&gt;=LCC總表!$E$9,AX49/(1+LCC總表!$E$7*0.01)^(AX$63-LCC總表!$E$9+1),0)</f>
        <v>0</v>
      </c>
      <c r="AY97" s="55">
        <f>IF(AY$63&gt;=LCC總表!$E$9,AY49/(1+LCC總表!$E$7*0.01)^(AY$63-LCC總表!$E$9+1),0)</f>
        <v>0</v>
      </c>
      <c r="AZ97" s="55">
        <f>IF(AZ$63&gt;=LCC總表!$E$9,AZ49/(1+LCC總表!$E$7*0.01)^(AZ$63-LCC總表!$E$9+1),0)</f>
        <v>0</v>
      </c>
      <c r="BA97" s="55">
        <f>IF(BA$63&gt;=LCC總表!$E$9,BA49/(1+LCC總表!$E$7*0.01)^(BA$63-LCC總表!$E$9+1),0)</f>
        <v>0</v>
      </c>
      <c r="BB97" s="55">
        <f>IF(BB$63&gt;=LCC總表!$E$9,BB49/(1+LCC總表!$E$7*0.01)^(BB$63-LCC總表!$E$9+1),0)</f>
        <v>0</v>
      </c>
      <c r="BC97" s="55">
        <f>IF(BC$63&gt;=LCC總表!$E$9,BC49/(1+LCC總表!$E$7*0.01)^(BC$63-LCC總表!$E$9+1),0)</f>
        <v>0</v>
      </c>
      <c r="BD97" s="55">
        <f>IF(BD$63&gt;=LCC總表!$E$9,BD49/(1+LCC總表!$E$7*0.01)^(BD$63-LCC總表!$E$9+1),0)</f>
        <v>0</v>
      </c>
      <c r="BE97" s="55">
        <f>IF(BE$63&gt;=LCC總表!$E$9,BE49/(1+LCC總表!$E$7*0.01)^(BE$63-LCC總表!$E$9+1),0)</f>
        <v>0</v>
      </c>
      <c r="BF97" s="55">
        <f>IF(BF$63&gt;=LCC總表!$E$9,BF49/(1+LCC總表!$E$7*0.01)^(BF$63-LCC總表!$E$9+1),0)</f>
        <v>0</v>
      </c>
      <c r="BG97" s="55">
        <f>IF(BG$63&gt;=LCC總表!$E$9,BG49/(1+LCC總表!$E$7*0.01)^(BG$63-LCC總表!$E$9+1),0)</f>
        <v>0</v>
      </c>
      <c r="BH97" s="55">
        <f>IF(BH$63&gt;=LCC總表!$E$9,BH49/(1+LCC總表!$E$7*0.01)^(BH$63-LCC總表!$E$9+1),0)</f>
        <v>0</v>
      </c>
      <c r="BI97" s="55">
        <f>IF(BI$63&gt;=LCC總表!$E$9,BI49/(1+LCC總表!$E$7*0.01)^(BI$63-LCC總表!$E$9+1),0)</f>
        <v>0</v>
      </c>
      <c r="BJ97" s="55">
        <f>IF(BJ$63&gt;=LCC總表!$E$9,BJ49/(1+LCC總表!$E$7*0.01)^(BJ$63-LCC總表!$E$9+1),0)</f>
        <v>0</v>
      </c>
      <c r="BK97" s="55">
        <f>SUM(AN97:INDEX(AN97:BJ97,LCC總表!$E$6+LCC總表!$E$9-2018))</f>
        <v>0</v>
      </c>
    </row>
  </sheetData>
  <mergeCells count="1">
    <mergeCell ref="B19:B20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Z85"/>
  <sheetViews>
    <sheetView showGridLines="0" tabSelected="1" workbookViewId="0">
      <selection activeCell="D8" sqref="D8"/>
    </sheetView>
  </sheetViews>
  <sheetFormatPr defaultColWidth="9" defaultRowHeight="15.75"/>
  <cols>
    <col min="1" max="2" width="9" style="177"/>
    <col min="3" max="3" width="18.625" style="177" bestFit="1" customWidth="1"/>
    <col min="4" max="5" width="11.875" style="177" bestFit="1" customWidth="1"/>
    <col min="6" max="6" width="12.25" style="177" bestFit="1" customWidth="1"/>
    <col min="7" max="7" width="11.875" style="177" bestFit="1" customWidth="1"/>
    <col min="8" max="9" width="12.25" style="177" bestFit="1" customWidth="1"/>
    <col min="10" max="10" width="10.75" style="177" bestFit="1" customWidth="1"/>
    <col min="11" max="11" width="12.25" style="177" bestFit="1" customWidth="1"/>
    <col min="12" max="16" width="10.75" style="177" bestFit="1" customWidth="1"/>
    <col min="17" max="25" width="10.5" style="177" customWidth="1"/>
    <col min="26" max="16384" width="9" style="177"/>
  </cols>
  <sheetData>
    <row r="1" spans="1:26">
      <c r="A1" s="173" t="s">
        <v>28</v>
      </c>
      <c r="B1" s="174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6"/>
      <c r="S1" s="175"/>
      <c r="T1" s="175"/>
      <c r="U1" s="175"/>
      <c r="V1" s="175"/>
      <c r="W1" s="175"/>
      <c r="X1" s="176"/>
      <c r="Y1" s="175"/>
      <c r="Z1" s="176"/>
    </row>
    <row r="2" spans="1:26">
      <c r="A2" s="178"/>
      <c r="B2" s="179"/>
      <c r="C2" s="180"/>
      <c r="D2" s="180"/>
      <c r="E2" s="180"/>
      <c r="F2" s="180"/>
      <c r="G2" s="180"/>
      <c r="H2" s="180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81"/>
      <c r="T2" s="181"/>
      <c r="U2" s="181"/>
      <c r="V2" s="181"/>
      <c r="W2" s="181"/>
      <c r="X2" s="181"/>
      <c r="Y2" s="181"/>
      <c r="Z2" s="182"/>
    </row>
    <row r="3" spans="1:26" ht="16.5">
      <c r="A3" s="178"/>
      <c r="B3" s="183"/>
      <c r="C3" s="184"/>
      <c r="D3" s="185" t="s">
        <v>196</v>
      </c>
      <c r="E3" s="185" t="s">
        <v>197</v>
      </c>
      <c r="F3" s="185" t="s">
        <v>198</v>
      </c>
      <c r="G3" s="185" t="s">
        <v>199</v>
      </c>
      <c r="H3" s="185" t="s">
        <v>200</v>
      </c>
      <c r="I3" s="185" t="s">
        <v>201</v>
      </c>
      <c r="J3" s="185" t="s">
        <v>202</v>
      </c>
      <c r="K3" s="185" t="s">
        <v>203</v>
      </c>
      <c r="L3" s="185" t="s">
        <v>204</v>
      </c>
      <c r="M3" s="185" t="s">
        <v>205</v>
      </c>
      <c r="N3" s="179"/>
      <c r="O3" s="179"/>
      <c r="P3" s="179"/>
      <c r="Q3" s="179"/>
      <c r="R3" s="179"/>
      <c r="S3" s="181"/>
      <c r="T3" s="181"/>
      <c r="U3" s="181"/>
      <c r="V3" s="181"/>
      <c r="W3" s="181"/>
      <c r="X3" s="181"/>
      <c r="Y3" s="181"/>
      <c r="Z3" s="182"/>
    </row>
    <row r="4" spans="1:26" ht="16.5">
      <c r="A4" s="178"/>
      <c r="B4" s="183"/>
      <c r="C4" s="186" t="s">
        <v>206</v>
      </c>
      <c r="D4" s="184">
        <f>IF(MATCH(LCC總表!E$28,'計算過程(勿更動)'!$B$12:$B$14,0)&gt;0,MATCH(LCC總表!E$28,'計算過程(勿更動)'!$B$12:$B$14,0),0)</f>
        <v>3</v>
      </c>
      <c r="E4" s="184">
        <f>MATCH(LCC總表!G$28,'計算過程(勿更動)'!$B$12:$B$14,0)</f>
        <v>3</v>
      </c>
      <c r="F4" s="184">
        <f>MATCH(LCC總表!I$28,'計算過程(勿更動)'!$B$12:$B$14,0)</f>
        <v>3</v>
      </c>
      <c r="G4" s="184">
        <f>MATCH(LCC總表!K$28,'計算過程(勿更動)'!$B$12:$B$14,0)</f>
        <v>3</v>
      </c>
      <c r="H4" s="184">
        <f>MATCH(LCC總表!M$28,'計算過程(勿更動)'!$B$12:$B$14,0)</f>
        <v>1</v>
      </c>
      <c r="I4" s="184">
        <f>MATCH(LCC總表!O$28,'計算過程(勿更動)'!$B$12:$B$14,0)</f>
        <v>3</v>
      </c>
      <c r="J4" s="184">
        <f>MATCH(LCC總表!Q$28,'計算過程(勿更動)'!$B$12:$B$14,0)</f>
        <v>3</v>
      </c>
      <c r="K4" s="184">
        <f>MATCH(LCC總表!S$28,'計算過程(勿更動)'!$B$12:$B$14,0)</f>
        <v>3</v>
      </c>
      <c r="L4" s="184">
        <f>MATCH(LCC總表!U$28,'計算過程(勿更動)'!$B$12:$B$14,0)</f>
        <v>3</v>
      </c>
      <c r="M4" s="184">
        <f>MATCH(LCC總表!W$28,'計算過程(勿更動)'!$B$12:$B$14,0)</f>
        <v>3</v>
      </c>
      <c r="N4" s="179"/>
      <c r="O4" s="179"/>
      <c r="P4" s="179"/>
      <c r="Q4" s="179"/>
      <c r="R4" s="179"/>
      <c r="S4" s="181"/>
      <c r="T4" s="181"/>
      <c r="U4" s="181"/>
      <c r="V4" s="181"/>
      <c r="W4" s="181"/>
      <c r="X4" s="181"/>
      <c r="Y4" s="181"/>
      <c r="Z4" s="182"/>
    </row>
    <row r="5" spans="1:26" ht="16.5">
      <c r="A5" s="178"/>
      <c r="B5" s="183"/>
      <c r="C5" s="186" t="s">
        <v>207</v>
      </c>
      <c r="D5" s="187">
        <f>INDEX(G$12:G$14,D4)/LCC總表!$E$6</f>
        <v>102814.6831268814</v>
      </c>
      <c r="E5" s="187">
        <f>INDEX(H$12:H$14,E4)/LCC總表!$E$6</f>
        <v>78924.13435051062</v>
      </c>
      <c r="F5" s="187">
        <f>INDEX(I$12:I$14,F4)/LCC總表!$E$6</f>
        <v>146570.37527228892</v>
      </c>
      <c r="G5" s="187">
        <f>INDEX(J$12:J$14,G4)/LCC總表!$E$6</f>
        <v>83275.627163349578</v>
      </c>
      <c r="H5" s="187">
        <f>INDEX(K$12:K$14,H4)/LCC總表!$E$6</f>
        <v>446934.9708489608</v>
      </c>
      <c r="I5" s="187">
        <f>INDEX(L$12:L$14,I4)/LCC總表!$E$6</f>
        <v>0</v>
      </c>
      <c r="J5" s="187">
        <f>INDEX(M$12:M$14,J4)/LCC總表!$E$6</f>
        <v>0</v>
      </c>
      <c r="K5" s="187">
        <f>INDEX(N$12:N$14,K4)/LCC總表!$E$6</f>
        <v>0</v>
      </c>
      <c r="L5" s="187">
        <f>INDEX(O$12:O$14,L4)/LCC總表!$E$6</f>
        <v>0</v>
      </c>
      <c r="M5" s="187">
        <f>INDEX(P$12:P$14,M4)/LCC總表!$E$6</f>
        <v>0</v>
      </c>
      <c r="N5" s="179"/>
      <c r="O5" s="179"/>
      <c r="P5" s="179"/>
      <c r="Q5" s="179"/>
      <c r="R5" s="179"/>
      <c r="S5" s="181"/>
      <c r="T5" s="181"/>
      <c r="U5" s="181"/>
      <c r="V5" s="181"/>
      <c r="W5" s="181"/>
      <c r="X5" s="181"/>
      <c r="Y5" s="181"/>
      <c r="Z5" s="182"/>
    </row>
    <row r="6" spans="1:26" ht="16.5">
      <c r="A6" s="178"/>
      <c r="B6" s="183"/>
      <c r="C6" s="186" t="s">
        <v>208</v>
      </c>
      <c r="D6" s="187">
        <f>能源價格!BK40</f>
        <v>0</v>
      </c>
      <c r="E6" s="187">
        <f>能源價格!BK41</f>
        <v>0</v>
      </c>
      <c r="F6" s="187">
        <f>能源價格!BK42</f>
        <v>0</v>
      </c>
      <c r="G6" s="187">
        <f>能源價格!BK43</f>
        <v>0</v>
      </c>
      <c r="H6" s="187">
        <f>能源價格!BK44</f>
        <v>0</v>
      </c>
      <c r="I6" s="187">
        <f>能源價格!BK45</f>
        <v>0</v>
      </c>
      <c r="J6" s="187">
        <f>能源價格!BK46</f>
        <v>0</v>
      </c>
      <c r="K6" s="187">
        <f>能源價格!BK47</f>
        <v>0</v>
      </c>
      <c r="L6" s="187">
        <f>能源價格!BK48</f>
        <v>0</v>
      </c>
      <c r="M6" s="187">
        <f>能源價格!BK49</f>
        <v>0</v>
      </c>
      <c r="N6" s="179"/>
      <c r="O6" s="179"/>
      <c r="P6" s="179"/>
      <c r="Q6" s="179"/>
      <c r="R6" s="179"/>
      <c r="S6" s="181"/>
      <c r="T6" s="181"/>
      <c r="U6" s="181"/>
      <c r="V6" s="181"/>
      <c r="W6" s="181"/>
      <c r="X6" s="181"/>
      <c r="Y6" s="181"/>
      <c r="Z6" s="182"/>
    </row>
    <row r="7" spans="1:26" ht="16.5">
      <c r="A7" s="178"/>
      <c r="B7" s="188"/>
      <c r="C7" s="186" t="s">
        <v>209</v>
      </c>
      <c r="D7" s="187">
        <f>INDEX(G$12:G$14,$D$4)</f>
        <v>822517.46501505119</v>
      </c>
      <c r="E7" s="187">
        <f>INDEX(H$12:H$14,$E$4)</f>
        <v>631393.07480408496</v>
      </c>
      <c r="F7" s="187">
        <f>INDEX(I$12:I$14,$E$4)</f>
        <v>1172563.0021783113</v>
      </c>
      <c r="G7" s="187">
        <f>INDEX(J$12:J$14,$E$4)</f>
        <v>666205.01730679662</v>
      </c>
      <c r="H7" s="187">
        <f t="shared" ref="H7:M7" si="0">INDEX(K$12:K$14,$E$4)</f>
        <v>3271011.4873446836</v>
      </c>
      <c r="I7" s="187">
        <f t="shared" si="0"/>
        <v>0</v>
      </c>
      <c r="J7" s="187">
        <f t="shared" si="0"/>
        <v>0</v>
      </c>
      <c r="K7" s="187">
        <f t="shared" si="0"/>
        <v>0</v>
      </c>
      <c r="L7" s="187">
        <f t="shared" si="0"/>
        <v>0</v>
      </c>
      <c r="M7" s="187">
        <f t="shared" si="0"/>
        <v>0</v>
      </c>
      <c r="N7" s="179"/>
      <c r="O7" s="179"/>
      <c r="P7" s="179"/>
      <c r="Q7" s="179"/>
      <c r="R7" s="179"/>
      <c r="S7" s="181"/>
      <c r="T7" s="181"/>
      <c r="U7" s="181"/>
      <c r="V7" s="181"/>
      <c r="W7" s="181"/>
      <c r="X7" s="181"/>
      <c r="Y7" s="181"/>
      <c r="Z7" s="182"/>
    </row>
    <row r="8" spans="1:26" ht="16.5">
      <c r="A8" s="178"/>
      <c r="B8" s="188"/>
      <c r="C8" s="186" t="s">
        <v>210</v>
      </c>
      <c r="D8" s="187">
        <f>INDEX(G18:G20,D$4)</f>
        <v>735778.12255871657</v>
      </c>
      <c r="E8" s="187">
        <f t="shared" ref="E8:G8" si="1">INDEX(H18:H20,E$4)</f>
        <v>564808.93225461652</v>
      </c>
      <c r="F8" s="187">
        <f t="shared" si="1"/>
        <v>1317147.4921783113</v>
      </c>
      <c r="G8" s="187">
        <f t="shared" si="1"/>
        <v>748352.34114679671</v>
      </c>
      <c r="H8" s="187">
        <f>INDEX(K18:K20,$H$4)</f>
        <v>3196450.050218605</v>
      </c>
      <c r="I8" s="187">
        <f t="shared" ref="I8:M8" si="2">INDEX(L18:L20,$E$4)</f>
        <v>0</v>
      </c>
      <c r="J8" s="187">
        <f t="shared" si="2"/>
        <v>0</v>
      </c>
      <c r="K8" s="187">
        <f t="shared" si="2"/>
        <v>0</v>
      </c>
      <c r="L8" s="187">
        <f t="shared" si="2"/>
        <v>0</v>
      </c>
      <c r="M8" s="187">
        <f t="shared" si="2"/>
        <v>0</v>
      </c>
      <c r="N8" s="179"/>
      <c r="O8" s="179"/>
      <c r="P8" s="179"/>
      <c r="Q8" s="179"/>
      <c r="R8" s="179"/>
      <c r="S8" s="181"/>
      <c r="T8" s="181"/>
      <c r="U8" s="181"/>
      <c r="V8" s="181"/>
      <c r="W8" s="181"/>
      <c r="X8" s="181"/>
      <c r="Y8" s="181"/>
      <c r="Z8" s="182"/>
    </row>
    <row r="9" spans="1:26">
      <c r="A9" s="178"/>
      <c r="B9" s="188"/>
      <c r="C9" s="188"/>
      <c r="D9" s="183"/>
      <c r="E9" s="183"/>
      <c r="F9" s="183"/>
      <c r="G9" s="183"/>
      <c r="H9" s="183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81"/>
      <c r="T9" s="181"/>
      <c r="U9" s="181"/>
      <c r="V9" s="181"/>
      <c r="W9" s="181"/>
      <c r="X9" s="181"/>
      <c r="Y9" s="181"/>
      <c r="Z9" s="182"/>
    </row>
    <row r="10" spans="1:26" ht="16.5">
      <c r="A10" s="178"/>
      <c r="B10" s="189"/>
      <c r="C10" s="183"/>
      <c r="D10" s="183"/>
      <c r="E10" s="183"/>
      <c r="F10" s="183"/>
      <c r="G10" s="190" t="s">
        <v>211</v>
      </c>
      <c r="H10" s="190"/>
      <c r="I10" s="190"/>
      <c r="J10" s="190"/>
      <c r="K10" s="190"/>
      <c r="L10" s="190"/>
      <c r="M10" s="190"/>
      <c r="N10" s="190"/>
      <c r="O10" s="190"/>
      <c r="P10" s="190"/>
      <c r="Q10" s="179"/>
      <c r="R10" s="179"/>
      <c r="S10" s="181"/>
      <c r="T10" s="181"/>
      <c r="U10" s="181"/>
      <c r="V10" s="181"/>
      <c r="W10" s="181"/>
      <c r="X10" s="181"/>
      <c r="Y10" s="181"/>
      <c r="Z10" s="182"/>
    </row>
    <row r="11" spans="1:26">
      <c r="A11" s="178"/>
      <c r="B11" s="201" t="s">
        <v>231</v>
      </c>
      <c r="C11" s="202" t="s">
        <v>232</v>
      </c>
      <c r="D11" s="202" t="s">
        <v>233</v>
      </c>
      <c r="E11" s="202" t="s">
        <v>234</v>
      </c>
      <c r="F11" s="201" t="s">
        <v>235</v>
      </c>
      <c r="G11" s="201" t="s">
        <v>236</v>
      </c>
      <c r="H11" s="201" t="s">
        <v>237</v>
      </c>
      <c r="I11" s="201" t="s">
        <v>238</v>
      </c>
      <c r="J11" s="201" t="s">
        <v>239</v>
      </c>
      <c r="K11" s="201" t="s">
        <v>240</v>
      </c>
      <c r="L11" s="201" t="s">
        <v>241</v>
      </c>
      <c r="M11" s="201" t="s">
        <v>242</v>
      </c>
      <c r="N11" s="201" t="s">
        <v>243</v>
      </c>
      <c r="O11" s="201" t="s">
        <v>244</v>
      </c>
      <c r="P11" s="201" t="s">
        <v>245</v>
      </c>
      <c r="Q11" s="179"/>
      <c r="R11" s="179"/>
      <c r="S11" s="181"/>
      <c r="T11" s="181"/>
      <c r="U11" s="181"/>
      <c r="V11" s="181"/>
      <c r="W11" s="181"/>
      <c r="X11" s="181"/>
      <c r="Y11" s="181"/>
      <c r="Z11" s="182"/>
    </row>
    <row r="12" spans="1:26" ht="16.5">
      <c r="A12" s="178"/>
      <c r="B12" s="191" t="s">
        <v>212</v>
      </c>
      <c r="C12" s="184">
        <v>36</v>
      </c>
      <c r="D12" s="184" t="s">
        <v>30</v>
      </c>
      <c r="E12" s="184" t="s">
        <v>31</v>
      </c>
      <c r="F12" s="184" t="s">
        <v>95</v>
      </c>
      <c r="G12" s="192">
        <f>能源價格!H19</f>
        <v>899078.02689541783</v>
      </c>
      <c r="H12" s="192">
        <f>能源價格!I19</f>
        <v>690163.63060436631</v>
      </c>
      <c r="I12" s="192">
        <f>能源價格!J19</f>
        <v>1281706.0734263586</v>
      </c>
      <c r="J12" s="192">
        <f>能源價格!K19</f>
        <v>728215.89564309351</v>
      </c>
      <c r="K12" s="192">
        <f>能源價格!L19</f>
        <v>3575479.7667916864</v>
      </c>
      <c r="L12" s="192">
        <f>能源價格!M19</f>
        <v>0</v>
      </c>
      <c r="M12" s="192">
        <f>能源價格!N19</f>
        <v>0</v>
      </c>
      <c r="N12" s="192">
        <f>能源價格!O19</f>
        <v>0</v>
      </c>
      <c r="O12" s="192">
        <f>能源價格!P19</f>
        <v>0</v>
      </c>
      <c r="P12" s="192">
        <f>能源價格!Q19</f>
        <v>0</v>
      </c>
      <c r="Q12" s="179"/>
      <c r="R12" s="179"/>
      <c r="S12" s="181"/>
      <c r="T12" s="181"/>
      <c r="U12" s="181"/>
      <c r="V12" s="181"/>
      <c r="W12" s="181"/>
      <c r="X12" s="181"/>
      <c r="Y12" s="181"/>
      <c r="Z12" s="182"/>
    </row>
    <row r="13" spans="1:26" ht="16.5">
      <c r="A13" s="178"/>
      <c r="B13" s="186" t="s">
        <v>213</v>
      </c>
      <c r="C13" s="184">
        <v>32</v>
      </c>
      <c r="D13" s="184" t="s">
        <v>30</v>
      </c>
      <c r="E13" s="184" t="s">
        <v>31</v>
      </c>
      <c r="F13" s="184" t="s">
        <v>95</v>
      </c>
      <c r="G13" s="192">
        <f>能源價格!H21</f>
        <v>862526.8276210425</v>
      </c>
      <c r="H13" s="192">
        <f>能源價格!I21</f>
        <v>662105.65605764661</v>
      </c>
      <c r="I13" s="192">
        <f>能源價格!J21</f>
        <v>1229599.4790045675</v>
      </c>
      <c r="J13" s="192">
        <f>能源價格!K21</f>
        <v>698610.94087812235</v>
      </c>
      <c r="K13" s="192">
        <f>能源價格!L21</f>
        <v>3430121.88955741</v>
      </c>
      <c r="L13" s="192">
        <f>能源價格!M21</f>
        <v>0</v>
      </c>
      <c r="M13" s="192">
        <f>能源價格!N21</f>
        <v>0</v>
      </c>
      <c r="N13" s="192">
        <f>能源價格!O21</f>
        <v>0</v>
      </c>
      <c r="O13" s="192">
        <f>能源價格!P21</f>
        <v>0</v>
      </c>
      <c r="P13" s="192">
        <f>能源價格!Q21</f>
        <v>0</v>
      </c>
      <c r="Q13" s="179"/>
      <c r="R13" s="179"/>
      <c r="S13" s="181"/>
      <c r="T13" s="181"/>
      <c r="U13" s="181"/>
      <c r="V13" s="181"/>
      <c r="W13" s="181"/>
      <c r="X13" s="181"/>
      <c r="Y13" s="181"/>
      <c r="Z13" s="182"/>
    </row>
    <row r="14" spans="1:26" ht="16.5">
      <c r="A14" s="178"/>
      <c r="B14" s="186" t="s">
        <v>214</v>
      </c>
      <c r="C14" s="193">
        <v>3.6</v>
      </c>
      <c r="D14" s="184" t="s">
        <v>34</v>
      </c>
      <c r="E14" s="184" t="s">
        <v>35</v>
      </c>
      <c r="F14" s="184" t="s">
        <v>96</v>
      </c>
      <c r="G14" s="192">
        <f>能源價格!H23+能源價格!BK40</f>
        <v>822517.46501505119</v>
      </c>
      <c r="H14" s="192">
        <f>能源價格!I23+能源價格!BK41</f>
        <v>631393.07480408496</v>
      </c>
      <c r="I14" s="192">
        <f>能源價格!J23+能源價格!BK42</f>
        <v>1172563.0021783113</v>
      </c>
      <c r="J14" s="192">
        <f>能源價格!K23+能源價格!BK43</f>
        <v>666205.01730679662</v>
      </c>
      <c r="K14" s="192">
        <f>能源價格!L23+能源價格!BK44</f>
        <v>3271011.4873446836</v>
      </c>
      <c r="L14" s="192">
        <f>能源價格!M23+能源價格!BK45</f>
        <v>0</v>
      </c>
      <c r="M14" s="192">
        <f>能源價格!N23+能源價格!BK46</f>
        <v>0</v>
      </c>
      <c r="N14" s="192">
        <f>能源價格!O23+能源價格!BK47</f>
        <v>0</v>
      </c>
      <c r="O14" s="192">
        <f>能源價格!P23+能源價格!BK48</f>
        <v>0</v>
      </c>
      <c r="P14" s="192">
        <f>能源價格!Q23+能源價格!BK49</f>
        <v>0</v>
      </c>
      <c r="Q14" s="179"/>
      <c r="R14" s="179"/>
      <c r="S14" s="181"/>
      <c r="T14" s="181"/>
      <c r="U14" s="181"/>
      <c r="V14" s="181"/>
      <c r="W14" s="181"/>
      <c r="X14" s="181"/>
      <c r="Y14" s="181"/>
      <c r="Z14" s="182"/>
    </row>
    <row r="15" spans="1:26">
      <c r="A15" s="178"/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79"/>
      <c r="M15" s="179"/>
      <c r="N15" s="179"/>
      <c r="O15" s="179"/>
      <c r="P15" s="179"/>
      <c r="Q15" s="179"/>
      <c r="R15" s="179"/>
      <c r="S15" s="181"/>
      <c r="T15" s="181"/>
      <c r="U15" s="181"/>
      <c r="V15" s="181"/>
      <c r="W15" s="181"/>
      <c r="X15" s="181"/>
      <c r="Y15" s="181"/>
      <c r="Z15" s="182"/>
    </row>
    <row r="16" spans="1:26" ht="16.5">
      <c r="A16" s="178"/>
      <c r="B16" s="189"/>
      <c r="C16" s="183"/>
      <c r="D16" s="183"/>
      <c r="E16" s="183"/>
      <c r="F16" s="183"/>
      <c r="G16" s="190" t="s">
        <v>215</v>
      </c>
      <c r="H16" s="190"/>
      <c r="I16" s="190"/>
      <c r="J16" s="190"/>
      <c r="K16" s="190"/>
      <c r="L16" s="190"/>
      <c r="M16" s="190"/>
      <c r="N16" s="190"/>
      <c r="O16" s="190"/>
      <c r="P16" s="190"/>
      <c r="Q16" s="179"/>
      <c r="R16" s="179"/>
      <c r="S16" s="181"/>
      <c r="T16" s="181"/>
      <c r="U16" s="181"/>
      <c r="V16" s="181"/>
      <c r="W16" s="181"/>
      <c r="X16" s="181"/>
      <c r="Y16" s="181"/>
      <c r="Z16" s="182"/>
    </row>
    <row r="17" spans="1:26">
      <c r="A17" s="178"/>
      <c r="B17" s="201" t="s">
        <v>231</v>
      </c>
      <c r="C17" s="202" t="s">
        <v>232</v>
      </c>
      <c r="D17" s="202" t="s">
        <v>233</v>
      </c>
      <c r="E17" s="202" t="s">
        <v>234</v>
      </c>
      <c r="F17" s="201" t="s">
        <v>235</v>
      </c>
      <c r="G17" s="201" t="s">
        <v>236</v>
      </c>
      <c r="H17" s="201" t="s">
        <v>237</v>
      </c>
      <c r="I17" s="201" t="s">
        <v>238</v>
      </c>
      <c r="J17" s="201" t="s">
        <v>239</v>
      </c>
      <c r="K17" s="201" t="s">
        <v>240</v>
      </c>
      <c r="L17" s="201" t="s">
        <v>241</v>
      </c>
      <c r="M17" s="201" t="s">
        <v>242</v>
      </c>
      <c r="N17" s="201" t="s">
        <v>243</v>
      </c>
      <c r="O17" s="201" t="s">
        <v>244</v>
      </c>
      <c r="P17" s="201" t="s">
        <v>245</v>
      </c>
      <c r="Q17" s="179"/>
      <c r="R17" s="179"/>
      <c r="S17" s="181"/>
      <c r="T17" s="181"/>
      <c r="U17" s="181"/>
      <c r="V17" s="181"/>
      <c r="W17" s="181"/>
      <c r="X17" s="181"/>
      <c r="Y17" s="181"/>
      <c r="Z17" s="182"/>
    </row>
    <row r="18" spans="1:26" ht="16.5">
      <c r="A18" s="178"/>
      <c r="B18" s="191" t="s">
        <v>212</v>
      </c>
      <c r="C18" s="184">
        <v>36</v>
      </c>
      <c r="D18" s="184" t="s">
        <v>30</v>
      </c>
      <c r="E18" s="184" t="s">
        <v>31</v>
      </c>
      <c r="F18" s="184" t="s">
        <v>95</v>
      </c>
      <c r="G18" s="192">
        <f>能源價格!BK52</f>
        <v>803768.4986815193</v>
      </c>
      <c r="H18" s="192">
        <f>能源價格!BK53</f>
        <v>617000.71475552302</v>
      </c>
      <c r="I18" s="192">
        <f>能源價格!BK54</f>
        <v>1145834.8837043964</v>
      </c>
      <c r="J18" s="192">
        <f>能源價格!BK55</f>
        <v>651019.13254204369</v>
      </c>
      <c r="K18" s="192">
        <f>能源價格!BK56</f>
        <v>3196450.050218605</v>
      </c>
      <c r="L18" s="192">
        <f>能源價格!BK57</f>
        <v>0</v>
      </c>
      <c r="M18" s="192">
        <f>能源價格!BK58</f>
        <v>0</v>
      </c>
      <c r="N18" s="192">
        <f>能源價格!BK59</f>
        <v>0</v>
      </c>
      <c r="O18" s="192">
        <f>能源價格!BK60</f>
        <v>0</v>
      </c>
      <c r="P18" s="192">
        <f>能源價格!BK61</f>
        <v>0</v>
      </c>
      <c r="Q18" s="179"/>
      <c r="R18" s="179"/>
      <c r="S18" s="181"/>
      <c r="T18" s="181"/>
      <c r="U18" s="181"/>
      <c r="V18" s="181"/>
      <c r="W18" s="181"/>
      <c r="X18" s="181"/>
      <c r="Y18" s="181"/>
      <c r="Z18" s="182"/>
    </row>
    <row r="19" spans="1:26" ht="16.5">
      <c r="A19" s="178"/>
      <c r="B19" s="186" t="s">
        <v>213</v>
      </c>
      <c r="C19" s="184">
        <v>32</v>
      </c>
      <c r="D19" s="184" t="s">
        <v>30</v>
      </c>
      <c r="E19" s="184" t="s">
        <v>31</v>
      </c>
      <c r="F19" s="184" t="s">
        <v>95</v>
      </c>
      <c r="G19" s="192">
        <f>能源價格!BK64</f>
        <v>771706.78659012623</v>
      </c>
      <c r="H19" s="192">
        <f>能源價格!BK65</f>
        <v>592389.02705051191</v>
      </c>
      <c r="I19" s="192">
        <f>能源價格!BK66</f>
        <v>1100128.4045305199</v>
      </c>
      <c r="J19" s="192">
        <f>能源價格!BK67</f>
        <v>625050.47610951297</v>
      </c>
      <c r="K19" s="192">
        <f>能源價格!BK68</f>
        <v>3068946.0967883086</v>
      </c>
      <c r="L19" s="192">
        <f>能源價格!BK69</f>
        <v>0</v>
      </c>
      <c r="M19" s="192">
        <f>能源價格!BK70</f>
        <v>0</v>
      </c>
      <c r="N19" s="192">
        <f>能源價格!BK71</f>
        <v>0</v>
      </c>
      <c r="O19" s="192">
        <f>能源價格!BK72</f>
        <v>0</v>
      </c>
      <c r="P19" s="192">
        <f>能源價格!BK73</f>
        <v>0</v>
      </c>
      <c r="Q19" s="179"/>
      <c r="R19" s="179"/>
      <c r="S19" s="181"/>
      <c r="T19" s="181"/>
      <c r="U19" s="181"/>
      <c r="V19" s="181"/>
      <c r="W19" s="181"/>
      <c r="X19" s="181"/>
      <c r="Y19" s="181"/>
      <c r="Z19" s="182"/>
    </row>
    <row r="20" spans="1:26" ht="16.5">
      <c r="A20" s="178"/>
      <c r="B20" s="186" t="s">
        <v>214</v>
      </c>
      <c r="C20" s="193">
        <v>3.6</v>
      </c>
      <c r="D20" s="184" t="s">
        <v>34</v>
      </c>
      <c r="E20" s="184" t="s">
        <v>35</v>
      </c>
      <c r="F20" s="184" t="s">
        <v>96</v>
      </c>
      <c r="G20" s="192">
        <f>能源價格!BK76+能源價格!BK88</f>
        <v>735778.12255871657</v>
      </c>
      <c r="H20" s="192">
        <f>能源價格!BK77+能源價格!BK89</f>
        <v>564808.93225461652</v>
      </c>
      <c r="I20" s="192">
        <f>能源價格!BK78+能源價格!BK90</f>
        <v>1317147.4921783113</v>
      </c>
      <c r="J20" s="192">
        <f>能源價格!BK79+能源價格!BK91</f>
        <v>748352.34114679671</v>
      </c>
      <c r="K20" s="192">
        <f>能源價格!BK80</f>
        <v>3674348.0473446832</v>
      </c>
      <c r="L20" s="192">
        <f>能源價格!BK81</f>
        <v>0</v>
      </c>
      <c r="M20" s="192">
        <f>能源價格!BK82</f>
        <v>0</v>
      </c>
      <c r="N20" s="192">
        <f>能源價格!BK83</f>
        <v>0</v>
      </c>
      <c r="O20" s="192">
        <f>能源價格!BK84</f>
        <v>0</v>
      </c>
      <c r="P20" s="192">
        <f>能源價格!BK85</f>
        <v>0</v>
      </c>
      <c r="Q20" s="179"/>
      <c r="R20" s="179"/>
      <c r="S20" s="181"/>
      <c r="T20" s="181"/>
      <c r="U20" s="181"/>
      <c r="V20" s="181"/>
      <c r="W20" s="181"/>
      <c r="X20" s="181"/>
      <c r="Y20" s="181"/>
      <c r="Z20" s="182"/>
    </row>
    <row r="21" spans="1:26">
      <c r="A21" s="178"/>
      <c r="B21" s="179" t="s">
        <v>36</v>
      </c>
      <c r="C21" s="179" t="s">
        <v>37</v>
      </c>
      <c r="D21" s="179" t="s">
        <v>38</v>
      </c>
      <c r="E21" s="179" t="s">
        <v>39</v>
      </c>
      <c r="F21" s="179" t="s">
        <v>40</v>
      </c>
      <c r="G21" s="179"/>
      <c r="H21" s="179"/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81"/>
      <c r="T21" s="181"/>
      <c r="U21" s="181"/>
      <c r="V21" s="181"/>
      <c r="W21" s="181"/>
      <c r="X21" s="181"/>
      <c r="Y21" s="181"/>
      <c r="Z21" s="182"/>
    </row>
    <row r="22" spans="1:26">
      <c r="A22" s="178"/>
      <c r="B22" s="179" t="s">
        <v>41</v>
      </c>
      <c r="C22" s="179" t="s">
        <v>29</v>
      </c>
      <c r="D22" s="179" t="s">
        <v>42</v>
      </c>
      <c r="E22" s="179" t="s">
        <v>43</v>
      </c>
      <c r="F22" s="179" t="s">
        <v>44</v>
      </c>
      <c r="G22" s="179"/>
      <c r="H22" s="179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81"/>
      <c r="T22" s="181"/>
      <c r="U22" s="181"/>
      <c r="V22" s="181"/>
      <c r="W22" s="181"/>
      <c r="X22" s="181"/>
      <c r="Y22" s="181"/>
      <c r="Z22" s="182"/>
    </row>
    <row r="23" spans="1:26">
      <c r="A23" s="178"/>
      <c r="B23" s="179" t="s">
        <v>45</v>
      </c>
      <c r="C23" s="179" t="s">
        <v>32</v>
      </c>
      <c r="D23" s="179" t="s">
        <v>46</v>
      </c>
      <c r="E23" s="179" t="s">
        <v>47</v>
      </c>
      <c r="F23" s="179" t="s">
        <v>48</v>
      </c>
      <c r="G23" s="179"/>
      <c r="H23" s="179"/>
      <c r="I23" s="179"/>
      <c r="J23" s="179"/>
      <c r="K23" s="179"/>
      <c r="L23" s="179"/>
      <c r="M23" s="179"/>
      <c r="N23" s="179"/>
      <c r="O23" s="179"/>
      <c r="P23" s="179"/>
      <c r="Q23" s="179"/>
      <c r="R23" s="179"/>
      <c r="S23" s="181"/>
      <c r="T23" s="181"/>
      <c r="U23" s="181"/>
      <c r="V23" s="181"/>
      <c r="W23" s="181"/>
      <c r="X23" s="181"/>
      <c r="Y23" s="181"/>
      <c r="Z23" s="182"/>
    </row>
    <row r="24" spans="1:26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81"/>
      <c r="T24" s="181"/>
      <c r="U24" s="181"/>
      <c r="V24" s="181"/>
      <c r="W24" s="181"/>
      <c r="X24" s="181"/>
      <c r="Y24" s="181"/>
      <c r="Z24" s="182"/>
    </row>
    <row r="25" spans="1:26">
      <c r="A25" s="181"/>
      <c r="B25" s="181"/>
      <c r="C25" s="181"/>
      <c r="D25" s="181"/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1"/>
      <c r="U25" s="181"/>
      <c r="V25" s="181"/>
      <c r="W25" s="181"/>
      <c r="X25" s="181"/>
      <c r="Y25" s="181"/>
      <c r="Z25" s="182"/>
    </row>
    <row r="26" spans="1:26">
      <c r="A26" s="194"/>
      <c r="B26" s="181"/>
      <c r="C26" s="181"/>
      <c r="D26" s="181"/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  <c r="W26" s="181"/>
      <c r="X26" s="181"/>
      <c r="Y26" s="181"/>
      <c r="Z26" s="182"/>
    </row>
    <row r="27" spans="1:26">
      <c r="A27" s="194"/>
      <c r="B27" s="181"/>
      <c r="C27" s="183"/>
      <c r="D27" s="183"/>
      <c r="E27" s="183"/>
      <c r="F27" s="183"/>
      <c r="G27" s="183"/>
      <c r="H27" s="183"/>
      <c r="I27" s="183"/>
      <c r="J27" s="183"/>
      <c r="K27" s="183"/>
      <c r="L27" s="183"/>
      <c r="M27" s="183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2"/>
    </row>
    <row r="28" spans="1:26">
      <c r="A28" s="194"/>
      <c r="B28" s="181"/>
      <c r="C28" s="195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1"/>
      <c r="Z28" s="182"/>
    </row>
    <row r="29" spans="1:26" ht="16.5">
      <c r="A29" s="194"/>
      <c r="B29" s="181"/>
      <c r="C29" s="196" t="s">
        <v>216</v>
      </c>
      <c r="D29" s="196">
        <f>LCC總表!$E$9</f>
        <v>2019</v>
      </c>
      <c r="E29" s="196">
        <f t="shared" ref="E29:T29" si="3">D29+1</f>
        <v>2020</v>
      </c>
      <c r="F29" s="196">
        <f t="shared" si="3"/>
        <v>2021</v>
      </c>
      <c r="G29" s="196">
        <f t="shared" si="3"/>
        <v>2022</v>
      </c>
      <c r="H29" s="196">
        <f t="shared" si="3"/>
        <v>2023</v>
      </c>
      <c r="I29" s="196">
        <f t="shared" si="3"/>
        <v>2024</v>
      </c>
      <c r="J29" s="196">
        <f t="shared" si="3"/>
        <v>2025</v>
      </c>
      <c r="K29" s="196">
        <f t="shared" si="3"/>
        <v>2026</v>
      </c>
      <c r="L29" s="196">
        <f t="shared" si="3"/>
        <v>2027</v>
      </c>
      <c r="M29" s="196">
        <f t="shared" si="3"/>
        <v>2028</v>
      </c>
      <c r="N29" s="196">
        <f t="shared" si="3"/>
        <v>2029</v>
      </c>
      <c r="O29" s="196">
        <f t="shared" si="3"/>
        <v>2030</v>
      </c>
      <c r="P29" s="196">
        <f t="shared" si="3"/>
        <v>2031</v>
      </c>
      <c r="Q29" s="196">
        <f t="shared" si="3"/>
        <v>2032</v>
      </c>
      <c r="R29" s="196">
        <f t="shared" si="3"/>
        <v>2033</v>
      </c>
      <c r="S29" s="196">
        <f t="shared" si="3"/>
        <v>2034</v>
      </c>
      <c r="T29" s="196">
        <f t="shared" si="3"/>
        <v>2035</v>
      </c>
      <c r="U29" s="196">
        <f t="shared" ref="U29:Y29" si="4">T29+1</f>
        <v>2036</v>
      </c>
      <c r="V29" s="196">
        <f t="shared" si="4"/>
        <v>2037</v>
      </c>
      <c r="W29" s="196">
        <f t="shared" si="4"/>
        <v>2038</v>
      </c>
      <c r="X29" s="196">
        <f t="shared" si="4"/>
        <v>2039</v>
      </c>
      <c r="Y29" s="196">
        <f t="shared" si="4"/>
        <v>2040</v>
      </c>
      <c r="Z29" s="182"/>
    </row>
    <row r="30" spans="1:26" ht="16.5">
      <c r="A30" s="194"/>
      <c r="B30" s="181"/>
      <c r="C30" s="196" t="s">
        <v>217</v>
      </c>
      <c r="D30" s="197">
        <f>IF(LCC總表!$E$14&lt;&gt;0,LCC總表!$E$15+LCC總表!$E$19+LCC總表!$E$20/LCC總表!$E$14+LCC總表!$E$21/LCC總表!$E$14+IF(LCC總表!$E$28="電力",能源價格!AO$28,IF(LCC總表!$E$28="柴油",能源價格!AO$4,0))/(1+LCC總表!$E$7*0.01)^('計算過程(勿更動)'!D$29-LCC總表!$E$9+1)+(LCC總表!$E$40+LCC總表!$E$46-LCC總表!$E$48)/(1+LCC總表!$E$7*0.01)^('計算過程(勿更動)'!D$29-LCC總表!$E$9+1)-LCC總表!$E$47-LCC總表!$E$65,0)</f>
        <v>10364900.416228116</v>
      </c>
      <c r="E30" s="197">
        <f>IF(E$29&lt;LCC總表!$E$9+LCC總表!$E$6,IF(LCC總表!$E$28="電力",能源價格!AP$28+能源價格!AP$40,IF(LCC總表!$E$28="柴油",能源價格!AP$4,0))/(1+LCC總表!$E$7*0.01)^(E29-LCC總表!$E$9+1)+(LCC總表!$E$40+LCC總表!$E$46-LCC總表!$E$48)/(1+LCC總表!$E$7*0.01)^(E29-LCC總表!$E$9+1),0)</f>
        <v>-77733.449450410626</v>
      </c>
      <c r="F30" s="197">
        <f>IF(F29&lt;LCC總表!$E$9+LCC總表!$E$6,IF(LCC總表!$E$28="電力",能源價格!AQ$28+能源價格!AQ$40,IF(LCC總表!$E$28="柴油",能源價格!AQ$4,0))/(1+LCC總表!$E$7*0.01)^(F29-LCC總表!$E$9+1)+(LCC總表!$E$40+LCC總表!$E$46-LCC總表!$E$48)/(1+LCC總表!$E$7*0.01)^(F29-LCC總表!$E$9+1),0)</f>
        <v>-77497.461770894573</v>
      </c>
      <c r="G30" s="197">
        <f>IF(G29&lt;LCC總表!$E$9+LCC總表!$E$6,IF(LCC總表!$E$28="電力",能源價格!AR$28+能源價格!AR$40,IF(LCC總表!$E$28="柴油",能源價格!AR$4,0))/(1+LCC總表!$E$7*0.01)^(G29-LCC總表!$E$9+1)+(LCC總表!$E$40+LCC總表!$E$46-LCC總表!$E$48)/(1+LCC總表!$E$7*0.01)^(G29-LCC總表!$E$9+1),0)</f>
        <v>-73028.819037093781</v>
      </c>
      <c r="H30" s="197">
        <f>IF(H29&lt;LCC總表!$E$9+LCC總表!$E$6,IF(LCC總表!$E$28="電力",能源價格!AS$28+能源價格!AS$40,IF(LCC總表!$E$28="柴油",能源價格!AS$4,0))/(1+LCC總表!$E$7*0.01)^(H29-LCC總表!$E$9+1)+(LCC總表!$E$40+LCC總表!$E$46-LCC總表!$E$48)/(1+LCC總表!$E$7*0.01)^(H29-LCC總表!$E$9+1),0)</f>
        <v>-67717.773288180164</v>
      </c>
      <c r="I30" s="197">
        <f>IF(I29&lt;LCC總表!$E$9+LCC總表!$E$6,IF(LCC總表!$E$28="電力",能源價格!AT$28+能源價格!AT$40,IF(LCC總表!$E$28="柴油",能源價格!AT$4,0))/(1+LCC總表!$E$7*0.01)^(I29-LCC總表!$E$9+1)+(LCC總表!$E$40+LCC總表!$E$46-LCC總表!$E$48)/(1+LCC總表!$E$7*0.01)^(I29-LCC總表!$E$9+1),0)</f>
        <v>-65534.930571685254</v>
      </c>
      <c r="J30" s="197">
        <f>IF(J29&lt;LCC總表!$E$9+LCC總表!$E$6,IF(LCC總表!$E$28="電力",能源價格!AU$28+能源價格!AU$40,IF(LCC總表!$E$28="柴油",能源價格!AU$4,0))/(1+LCC總表!$E$7*0.01)^(J29-LCC總表!$E$9+1)+(LCC總表!$E$40+LCC總表!$E$46-LCC總表!$E$48)/(1+LCC總表!$E$7*0.01)^(J29-LCC總表!$E$9+1),0)</f>
        <v>-61603.05200895475</v>
      </c>
      <c r="K30" s="197">
        <f>IF(K29&lt;LCC總表!$E$9+LCC總表!$E$6,IF(LCC總表!$E$28="電力",能源價格!AV$28+能源價格!AV$40,IF(LCC總表!$E$28="柴油",能源價格!AV$4,0))/(1+LCC總表!$E$7*0.01)^(K29-LCC總表!$E$9+1)+(LCC總表!$E$40+LCC總表!$E$46-LCC總表!$E$48)/(1+LCC總表!$E$7*0.01)^(K29-LCC總表!$E$9+1),0)</f>
        <v>-57659.760829189516</v>
      </c>
      <c r="L30" s="197">
        <f>IF(L29&lt;LCC總表!$E$9+LCC總表!$E$6,IF(LCC總表!$E$28="電力",能源價格!AW$28+能源價格!AW$40,IF(LCC總表!$E$28="柴油",能源價格!AW$4,0))/(1+LCC總表!$E$7*0.01)^(L29-LCC總表!$E$9+1)+(LCC總表!$E$40+LCC總表!$E$46-LCC總表!$E$48)/(1+LCC總表!$E$7*0.01)^(L29-LCC總表!$E$9+1),0)</f>
        <v>0</v>
      </c>
      <c r="M30" s="197">
        <f>IF(M29&lt;LCC總表!$E$9+LCC總表!$E$6,IF(LCC總表!$E$28="電力",能源價格!AX$28+能源價格!AX$40,IF(LCC總表!$E$28="柴油",能源價格!AX$4,0))/(1+LCC總表!$E$7*0.01)^(M29-LCC總表!$E$9+1)+(LCC總表!$E$40+LCC總表!$E$46-LCC總表!$E$48)/(1+LCC總表!$E$7*0.01)^(M29-LCC總表!$E$9+1),0)</f>
        <v>0</v>
      </c>
      <c r="N30" s="197">
        <f>IF(N29&lt;LCC總表!$E$9+LCC總表!$E$6,IF(LCC總表!$E$28="電力",能源價格!AY$28+能源價格!AY$40,IF(LCC總表!$E$28="柴油",能源價格!AY$4,0))/(1+LCC總表!$E$7*0.01)^(N29-LCC總表!$E$9+1)+(LCC總表!$E$40+LCC總表!$E$46-LCC總表!$E$48)/(1+LCC總表!$E$7*0.01)^(N29-LCC總表!$E$9+1),0)</f>
        <v>0</v>
      </c>
      <c r="O30" s="197">
        <f>IF(O29&lt;LCC總表!$E$9+LCC總表!$E$6,IF(LCC總表!$E$28="電力",能源價格!AZ$28+能源價格!AZ$40,IF(LCC總表!$E$28="柴油",能源價格!AZ$4,0))/(1+LCC總表!$E$7*0.01)^(O29-LCC總表!$E$9+1)+(LCC總表!$E$40+LCC總表!$E$46-LCC總表!$E$48)/(1+LCC總表!$E$7*0.01)^(O29-LCC總表!$E$9+1),0)</f>
        <v>0</v>
      </c>
      <c r="P30" s="197">
        <f>IF(P29&lt;LCC總表!$E$9+LCC總表!$E$6,IF(LCC總表!$E$28="電力",能源價格!BA$28+能源價格!BA$40,IF(LCC總表!$E$28="柴油",能源價格!BA$4,0))/(1+LCC總表!$E$7*0.01)^(P29-LCC總表!$E$9+1)+(LCC總表!$E$40+LCC總表!$E$46-LCC總表!$E$48)/(1+LCC總表!$E$7*0.01)^(P29-LCC總表!$E$9+1),0)</f>
        <v>0</v>
      </c>
      <c r="Q30" s="197">
        <f>IF(Q29&lt;LCC總表!$E$9+LCC總表!$E$6,IF(LCC總表!$E$28="電力",能源價格!BB$28+能源價格!BB$40,IF(LCC總表!$E$28="柴油",能源價格!BB$4,0))/(1+LCC總表!$E$7*0.01)^(Q29-LCC總表!$E$9+1)+(LCC總表!$E$40+LCC總表!$E$46-LCC總表!$E$48)/(1+LCC總表!$E$7*0.01)^(Q29-LCC總表!$E$9+1),0)</f>
        <v>0</v>
      </c>
      <c r="R30" s="197">
        <f>IF(R29&lt;LCC總表!$E$9+LCC總表!$E$6,IF(LCC總表!$E$28="電力",能源價格!BC$28+能源價格!BC$40,IF(LCC總表!$E$28="柴油",能源價格!BC$4,0))/(1+LCC總表!$E$7*0.01)^(R29-LCC總表!$E$9+1)+(LCC總表!$E$40+LCC總表!$E$46-LCC總表!$E$48)/(1+LCC總表!$E$7*0.01)^(R29-LCC總表!$E$9+1),0)</f>
        <v>0</v>
      </c>
      <c r="S30" s="197">
        <f>IF(S29&lt;LCC總表!$E$9+LCC總表!$E$6,IF(LCC總表!$E$28="電力",能源價格!BD$28+能源價格!BD$40,IF(LCC總表!$E$28="柴油",能源價格!BD$4,0))/(1+LCC總表!$E$7*0.01)^(S29-LCC總表!$E$9+1)+(LCC總表!$E$40+LCC總表!$E$46-LCC總表!$E$48)/(1+LCC總表!$E$7*0.01)^(S29-LCC總表!$E$9+1),0)</f>
        <v>0</v>
      </c>
      <c r="T30" s="197">
        <f>IF(T29&lt;LCC總表!$E$9+LCC總表!$E$6,IF(LCC總表!$E$28="電力",能源價格!BE$28+能源價格!BE$40,IF(LCC總表!$E$28="柴油",能源價格!BE$4,0))/(1+LCC總表!$E$7*0.01)^(T29-LCC總表!$E$9+1)+(LCC總表!$E$40+LCC總表!$E$46-LCC總表!$E$48)/(1+LCC總表!$E$7*0.01)^(T29-LCC總表!$E$9+1),0)</f>
        <v>0</v>
      </c>
      <c r="U30" s="197">
        <f>IF(U29&lt;LCC總表!$E$9+LCC總表!$E$6,IF(LCC總表!$E$28="電力",能源價格!BF$28+能源價格!BF$40,IF(LCC總表!$E$28="柴油",能源價格!BF$4,0))/(1+LCC總表!$E$7*0.01)^(U29-LCC總表!$E$9+1)+(LCC總表!$E$40+LCC總表!$E$46-LCC總表!$E$48)/(1+LCC總表!$E$7*0.01)^(U29-LCC總表!$E$9+1),0)</f>
        <v>0</v>
      </c>
      <c r="V30" s="197">
        <f>IF(V29&lt;LCC總表!$E$9+LCC總表!$E$6,IF(LCC總表!$E$28="電力",能源價格!BG$28+能源價格!BG$40,IF(LCC總表!$E$28="柴油",能源價格!BG$4,0))/(1+LCC總表!$E$7*0.01)^(V29-LCC總表!$E$9+1)+(LCC總表!$E$40+LCC總表!$E$46-LCC總表!$E$48)/(1+LCC總表!$E$7*0.01)^(V29-LCC總表!$E$9+1),0)</f>
        <v>0</v>
      </c>
      <c r="W30" s="197">
        <f>IF(W29&lt;LCC總表!$E$9+LCC總表!$E$6,IF(LCC總表!$E$28="電力",能源價格!BH$28+能源價格!BH$40,IF(LCC總表!$E$28="柴油",能源價格!BH$4,0))/(1+LCC總表!$E$7*0.01)^(W29-LCC總表!$E$9+1)+(LCC總表!$E$40+LCC總表!$E$46-LCC總表!$E$48)/(1+LCC總表!$E$7*0.01)^(W29-LCC總表!$E$9+1),0)</f>
        <v>0</v>
      </c>
      <c r="X30" s="197">
        <f>IF(X29&lt;LCC總表!$E$9+LCC總表!$E$6,IF(LCC總表!$E$28="電力",能源價格!BI$28+能源價格!BI$40,IF(LCC總表!$E$28="柴油",能源價格!BI$4,0))/(1+LCC總表!$E$7*0.01)^(X29-LCC總表!$E$9+1)+(LCC總表!$E$40+LCC總表!$E$46-LCC總表!$E$48)/(1+LCC總表!$E$7*0.01)^(X29-LCC總表!$E$9+1),0)</f>
        <v>0</v>
      </c>
      <c r="Y30" s="197">
        <f>IF(Y29&lt;LCC總表!$E$9+LCC總表!$E$6,IF(LCC總表!$E$28="電力",能源價格!BJ$28+能源價格!BJ$40,IF(LCC總表!$E$28="柴油",能源價格!BJ$4,0))/(1+LCC總表!$E$7*0.01)^(Y29-LCC總表!$E$9+1)+(LCC總表!$E$40+LCC總表!$E$46-LCC總表!$E$48)/(1+LCC總表!$E$7*0.01)^(Y29-LCC總表!$E$9+1),0)</f>
        <v>0</v>
      </c>
      <c r="Z30" s="182"/>
    </row>
    <row r="31" spans="1:26" ht="16.5">
      <c r="A31" s="194"/>
      <c r="B31" s="181"/>
      <c r="C31" s="196" t="s">
        <v>218</v>
      </c>
      <c r="D31" s="197">
        <f>IF(LCC總表!$G$14&lt;&gt;0,LCC總表!$G$15+LCC總表!$G$19+LCC總表!$G$20/LCC總表!$G$14+LCC總表!$G$21/LCC總表!$G$14+IF(LCC總表!$G$28="電力",能源價格!AO$28,IF(LCC總表!$G$28="柴油",能源價格!AO$4,0))/(1+LCC總表!$E$7*0.01)^('計算過程(勿更動)'!D$29-LCC總表!$E$9+1)+(LCC總表!$G$40+LCC總表!$G$46-LCC總表!$G$48)/(1+LCC總表!$E$7*0.01)^('計算過程(勿更動)'!D$29-LCC總表!$E$9+1)-LCC總表!$G$47-LCC總表!$G$65,0)</f>
        <v>6063231.9895614488</v>
      </c>
      <c r="E31" s="197">
        <f>IF(E$29&lt;LCC總表!$E$9+LCC總表!$E$6,IF(LCC總表!$G$28="電力",能源價格!AP$29+能源價格!AP$41,IF(LCC總表!$G$28="柴油",能源價格!AP$5,0))/(1+LCC總表!$G$7*0.01)^(E29-LCC總表!$G$9+1)+(LCC總表!$G$40+LCC總表!$G$46-LCC總表!$G$48)/(1+LCC總表!$E$7*0.01)^(E29-LCC總表!$E$9+1),0)</f>
        <v>-95921.084252701257</v>
      </c>
      <c r="F31" s="197">
        <f>IF(F$29&lt;LCC總表!$E$9+LCC總表!$E$6,IF(LCC總表!$G$28="電力",能源價格!AQ$29+能源價格!AQ$41,IF(LCC總表!$G$28="柴油",能源價格!AQ$5,0))/(1+LCC總表!$G$7*0.01)^(F29-LCC總表!$G$9+1)+(LCC總表!$G$40+LCC總表!$G$46-LCC總表!$G$48)/(1+LCC總表!$E$7*0.01)^(F29-LCC總表!$E$9+1),0)</f>
        <v>-93104.890960837467</v>
      </c>
      <c r="G31" s="197">
        <f>IF(G$29&lt;LCC總表!$E$9+LCC總表!$E$6,IF(LCC總表!$G$28="電力",能源價格!AR$29+能源價格!AR$41,IF(LCC總表!$G$28="柴油",能源價格!AR$5,0))/(1+LCC總表!$G$7*0.01)^(G29-LCC總表!$G$9+1)+(LCC總表!$G$40+LCC總表!$G$46-LCC總表!$G$48)/(1+LCC總表!$E$7*0.01)^(G29-LCC總表!$E$9+1),0)</f>
        <v>-86833.846686299454</v>
      </c>
      <c r="H31" s="197">
        <f>IF(H$29&lt;LCC總表!$E$9+LCC總表!$E$6,IF(LCC總表!$G$28="電力",能源價格!AS$29+能源價格!AS$41,IF(LCC總表!$G$28="柴油",能源價格!AS$5,0))/(1+LCC總表!$G$7*0.01)^(H29-LCC總表!$G$9+1)+(LCC總表!$G$40+LCC總表!$G$46-LCC總表!$G$48)/(1+LCC總表!$E$7*0.01)^(H29-LCC總表!$E$9+1),0)</f>
        <v>-79781.553236276712</v>
      </c>
      <c r="I31" s="197">
        <f>IF(I$29&lt;LCC總表!$E$9+LCC總表!$E$6,IF(LCC總表!$G$28="電力",能源價格!AT$29+能源價格!AT$41,IF(LCC總表!$G$28="柴油",能源價格!AT$5,0))/(1+LCC總表!$G$7*0.01)^(I29-LCC總表!$G$9+1)+(LCC總表!$G$40+LCC總表!$G$46-LCC總表!$G$48)/(1+LCC總表!$E$7*0.01)^(I29-LCC總表!$E$9+1),0)</f>
        <v>-75419.325959843991</v>
      </c>
      <c r="J31" s="197">
        <f>IF(J$29&lt;LCC總表!$E$9+LCC總表!$E$6,IF(LCC總表!$G$28="電力",能源價格!AU$29+能源價格!AU$41,IF(LCC總表!$G$28="柴油",能源價格!AU$5,0))/(1+LCC總表!$G$7*0.01)^(J29-LCC總表!$G$9+1)+(LCC總表!$G$40+LCC總表!$G$46-LCC總表!$G$48)/(1+LCC總表!$E$7*0.01)^(J29-LCC總表!$E$9+1),0)</f>
        <v>-69495.604370240937</v>
      </c>
      <c r="K31" s="197">
        <f>IF(K$29&lt;LCC總表!$E$9+LCC總表!$E$6,IF(LCC總表!$G$28="電力",能源價格!AV$29+能源價格!AV$41,IF(LCC總表!$G$28="柴油",能源價格!AV$5,0))/(1+LCC總表!$G$7*0.01)^(K29-LCC總表!$G$9+1)+(LCC總表!$G$40+LCC總表!$G$46-LCC總表!$G$48)/(1+LCC總表!$E$7*0.01)^(K29-LCC總表!$E$9+1),0)</f>
        <v>-63510.832696059937</v>
      </c>
      <c r="L31" s="197">
        <f>IF(L$29&lt;LCC總表!$E$9+LCC總表!$E$6,IF(LCC總表!$G$28="電力",能源價格!AW$29+能源價格!AW$41,IF(LCC總表!$G$28="柴油",能源價格!AW$5,0))/(1+LCC總表!$G$7*0.01)^(L29-LCC總表!$G$9+1)+(LCC總表!$G$40+LCC總表!$G$46-LCC總表!$G$48)/(1+LCC總表!$E$7*0.01)^(L29-LCC總表!$E$9+1),0)</f>
        <v>0</v>
      </c>
      <c r="M31" s="197">
        <f>IF(M$29&lt;LCC總表!$E$9+LCC總表!$E$6,IF(LCC總表!$G$28="電力",能源價格!AX$29+能源價格!AX$41,IF(LCC總表!$G$28="柴油",能源價格!AX$5,0))/(1+LCC總表!$G$7*0.01)^(M29-LCC總表!$G$9+1)+(LCC總表!$G$40+LCC總表!$G$46-LCC總表!$G$48)/(1+LCC總表!$E$7*0.01)^(M29-LCC總表!$E$9+1),0)</f>
        <v>0</v>
      </c>
      <c r="N31" s="197">
        <f>IF(N$29&lt;LCC總表!$E$9+LCC總表!$E$6,IF(LCC總表!$G$28="電力",能源價格!AY$29+能源價格!AY$41,IF(LCC總表!$G$28="柴油",能源價格!AY$5,0))/(1+LCC總表!$G$7*0.01)^(N29-LCC總表!$G$9+1)+(LCC總表!$G$40+LCC總表!$G$46-LCC總表!$G$48)/(1+LCC總表!$E$7*0.01)^(N29-LCC總表!$E$9+1),0)</f>
        <v>0</v>
      </c>
      <c r="O31" s="197">
        <f>IF(O$29&lt;LCC總表!$E$9+LCC總表!$E$6,IF(LCC總表!$G$28="電力",能源價格!AZ$29+能源價格!AZ$41,IF(LCC總表!$G$28="柴油",能源價格!AZ$5,0))/(1+LCC總表!$G$7*0.01)^(O29-LCC總表!$G$9+1)+(LCC總表!$G$40+LCC總表!$G$46-LCC總表!$G$48)/(1+LCC總表!$E$7*0.01)^(O29-LCC總表!$E$9+1),0)</f>
        <v>0</v>
      </c>
      <c r="P31" s="197">
        <f>IF(P$29&lt;LCC總表!$E$9+LCC總表!$E$6,IF(LCC總表!$G$28="電力",能源價格!BA$29+能源價格!BA$41,IF(LCC總表!$G$28="柴油",能源價格!BA$5,0))/(1+LCC總表!$G$7*0.01)^(P29-LCC總表!$G$9+1)+(LCC總表!$G$40+LCC總表!$G$46-LCC總表!$G$48)/(1+LCC總表!$E$7*0.01)^(P29-LCC總表!$E$9+1),0)</f>
        <v>0</v>
      </c>
      <c r="Q31" s="197">
        <f>IF(Q$29&lt;LCC總表!$E$9+LCC總表!$E$6,IF(LCC總表!$G$28="電力",能源價格!BB$29+能源價格!BB$41,IF(LCC總表!$G$28="柴油",能源價格!BB$5,0))/(1+LCC總表!$G$7*0.01)^(Q29-LCC總表!$G$9+1)+(LCC總表!$G$40+LCC總表!$G$46-LCC總表!$G$48)/(1+LCC總表!$E$7*0.01)^(Q29-LCC總表!$E$9+1),0)</f>
        <v>0</v>
      </c>
      <c r="R31" s="197">
        <f>IF(R$29&lt;LCC總表!$E$9+LCC總表!$E$6,IF(LCC總表!$G$28="電力",能源價格!BC$29+能源價格!BC$41,IF(LCC總表!$G$28="柴油",能源價格!BC$5,0))/(1+LCC總表!$G$7*0.01)^(R29-LCC總表!$G$9+1)+(LCC總表!$G$40+LCC總表!$G$46-LCC總表!$G$48)/(1+LCC總表!$E$7*0.01)^(R29-LCC總表!$E$9+1),0)</f>
        <v>0</v>
      </c>
      <c r="S31" s="197">
        <f>IF(S$29&lt;LCC總表!$E$9+LCC總表!$E$6,IF(LCC總表!$G$28="電力",能源價格!BD$29+能源價格!BD$41,IF(LCC總表!$G$28="柴油",能源價格!BD$5,0))/(1+LCC總表!$G$7*0.01)^(S29-LCC總表!$G$9+1)+(LCC總表!$G$40+LCC總表!$G$46-LCC總表!$G$48)/(1+LCC總表!$E$7*0.01)^(S29-LCC總表!$E$9+1),0)</f>
        <v>0</v>
      </c>
      <c r="T31" s="197">
        <f>IF(T$29&lt;LCC總表!$E$9+LCC總表!$E$6,IF(LCC總表!$G$28="電力",能源價格!BE$29+能源價格!BE$41,IF(LCC總表!$G$28="柴油",能源價格!BE$5,0))/(1+LCC總表!$G$7*0.01)^(T29-LCC總表!$G$9+1)+(LCC總表!$G$40+LCC總表!$G$46-LCC總表!$G$48)/(1+LCC總表!$E$7*0.01)^(T29-LCC總表!$E$9+1),0)</f>
        <v>0</v>
      </c>
      <c r="U31" s="197">
        <f>IF(U$29&lt;LCC總表!$E$9+LCC總表!$E$6,IF(LCC總表!$G$28="電力",能源價格!BF$29+能源價格!BF$41,IF(LCC總表!$G$28="柴油",能源價格!BF$5,0))/(1+LCC總表!$G$7*0.01)^(U29-LCC總表!$G$9+1)+(LCC總表!$G$40+LCC總表!$G$46-LCC總表!$G$48)/(1+LCC總表!$E$7*0.01)^(U29-LCC總表!$E$9+1),0)</f>
        <v>0</v>
      </c>
      <c r="V31" s="197">
        <f>IF(V$29&lt;LCC總表!$E$9+LCC總表!$E$6,IF(LCC總表!$G$28="電力",能源價格!BG$29+能源價格!BG$41,IF(LCC總表!$G$28="柴油",能源價格!BG$5,0))/(1+LCC總表!$G$7*0.01)^(V29-LCC總表!$G$9+1)+(LCC總表!$G$40+LCC總表!$G$46-LCC總表!$G$48)/(1+LCC總表!$E$7*0.01)^(V29-LCC總表!$E$9+1),0)</f>
        <v>0</v>
      </c>
      <c r="W31" s="197">
        <f>IF(W$29&lt;LCC總表!$E$9+LCC總表!$E$6,IF(LCC總表!$G$28="電力",能源價格!BH$29+能源價格!BH$41,IF(LCC總表!$G$28="柴油",能源價格!BH$5,0))/(1+LCC總表!$G$7*0.01)^(W29-LCC總表!$G$9+1)+(LCC總表!$G$40+LCC總表!$G$46-LCC總表!$G$48)/(1+LCC總表!$E$7*0.01)^(W29-LCC總表!$E$9+1),0)</f>
        <v>0</v>
      </c>
      <c r="X31" s="197">
        <f>IF(X$29&lt;LCC總表!$E$9+LCC總表!$E$6,IF(LCC總表!$G$28="電力",能源價格!BI$29+能源價格!BI$41,IF(LCC總表!$G$28="柴油",能源價格!BI$5,0))/(1+LCC總表!$G$7*0.01)^(X29-LCC總表!$G$9+1)+(LCC總表!$G$40+LCC總表!$G$46-LCC總表!$G$48)/(1+LCC總表!$E$7*0.01)^(X29-LCC總表!$E$9+1),0)</f>
        <v>0</v>
      </c>
      <c r="Y31" s="197">
        <f>IF(Y$29&lt;LCC總表!$E$9+LCC總表!$E$6,IF(LCC總表!$G$28="電力",能源價格!BJ$29+能源價格!BJ$41,IF(LCC總表!$G$28="柴油",能源價格!BJ$5,0))/(1+LCC總表!$G$7*0.01)^(Y29-LCC總表!$G$9+1)+(LCC總表!$G$40+LCC總表!$G$46-LCC總表!$G$48)/(1+LCC總表!$E$7*0.01)^(Y29-LCC總表!$E$9+1),0)</f>
        <v>0</v>
      </c>
      <c r="Z31" s="182"/>
    </row>
    <row r="32" spans="1:26" ht="16.5">
      <c r="A32" s="194"/>
      <c r="B32" s="181"/>
      <c r="C32" s="196" t="s">
        <v>219</v>
      </c>
      <c r="D32" s="197">
        <f>IF(LCC總表!$I$14&lt;&gt;0,LCC總表!$I$15+LCC總表!$I$19+LCC總表!$I$20/LCC總表!$I$14+LCC總表!$I$21/LCC總表!$I$14+IF(LCC總表!$I$28="電力",能源價格!AO$28,IF(LCC總表!$I$28="柴油",能源價格!AO$4,0))/(1+LCC總表!$E$7*0.01)^('計算過程(勿更動)'!D$29-LCC總表!$E$9+1)+(LCC總表!$I$40+LCC總表!$I$46-LCC總表!$I$48)/(1+LCC總表!$E$7*0.01)^('計算過程(勿更動)'!D$29-LCC總表!$E$9+1)-LCC總表!$I$47-LCC總表!$I$65,0)</f>
        <v>4363232.2295614481</v>
      </c>
      <c r="E32" s="197">
        <f>IF(E$29&lt;LCC總表!$E$9+LCC總表!$E$6,IF(LCC總表!$I$28="電力",能源價格!AP$30+能源價格!AP$42,IF(LCC總表!$I$28="柴油",能源價格!AP$6,0))/(1+LCC總表!$I$7*0.01)^(E29-LCC總表!$I$9+1)+(LCC總表!$I$40+LCC總表!$I$46-LCC總表!$I$48)/(1+LCC總表!$E$7*0.01)^(E29-LCC總表!$E$9+1),0)</f>
        <v>-30949.513774550607</v>
      </c>
      <c r="F32" s="197">
        <f>IF(F$29&lt;LCC總表!$E$9+LCC總表!$E$6,IF(LCC總表!$I$28="電力",能源價格!AQ$30+能源價格!AQ$42,IF(LCC總表!$I$28="柴油",能源價格!AQ$6,0))
/(1+LCC總表!$I$7*0.01)^(F29-LCC總表!$I$9+1)+(LCC總表!$I$40+LCC總表!$I$46-LCC總表!$I$48)/(1+LCC總表!$E$7*0.01)^(F29-LCC總表!$E$9+1),0)</f>
        <v>-29309.450024910097</v>
      </c>
      <c r="G32" s="197">
        <f>IF(G$29&lt;LCC總表!$E$9+LCC總表!$E$6,IF(LCC總表!$I$28="電力",能源價格!AR$30+能源價格!AR$42,IF(LCC總表!$I$28="柴油",能源價格!AR$6,0))
/(1+LCC總表!$I$7*0.01)^(G29-LCC總表!$I$9+1)+(LCC總表!$I$40+LCC總表!$I$46-LCC總表!$I$48)/(1+LCC總表!$E$7*0.01)^(G29-LCC總表!$E$9+1),0)</f>
        <v>-21165.807939815568</v>
      </c>
      <c r="H32" s="197">
        <f>IF(H$29&lt;LCC總表!$E$9+LCC總表!$E$6,IF(LCC總表!$I$28="電力",能源價格!AS$30+能源價格!AS$42,IF(LCC總表!$I$28="柴油",能源價格!AS$6,0))
/(1+LCC總表!$I$7*0.01)^(H29-LCC總表!$I$9+1)+(LCC總表!$I$40+LCC總表!$I$46-LCC總表!$I$48)/(1+LCC總表!$E$7*0.01)^(H29-LCC總表!$E$9+1),0)</f>
        <v>-11485.88138768592</v>
      </c>
      <c r="I32" s="197">
        <f>IF(I$29&lt;LCC總表!$E$9+LCC總表!$E$6,IF(LCC總表!$I$28="電力",能源價格!AT$30+能源價格!AT$42,IF(LCC總表!$I$28="柴油",能源價格!AT$6,0))
/(1+LCC總表!$I$7*0.01)^(I29-LCC總表!$I$9+1)+(LCC總表!$I$40+LCC總表!$I$46-LCC總表!$I$48)/(1+LCC總表!$E$7*0.01)^(I29-LCC總表!$E$9+1),0)</f>
        <v>-6718.3496612966701</v>
      </c>
      <c r="J32" s="197">
        <f>IF(J$29&lt;LCC總表!$E$9+LCC總表!$E$6,IF(LCC總表!$I$28="電力",能源價格!AU$30+能源價格!AU$42,IF(LCC總表!$I$28="柴油",能源價格!AU$6,0))
/(1+LCC總表!$I$7*0.01)^(J29-LCC總表!$I$9+1)+(LCC總表!$I$40+LCC總表!$I$46-LCC總表!$I$48)/(1+LCC總表!$E$7*0.01)^(J29-LCC總表!$E$9+1),0)</f>
        <v>1030.3472302271693</v>
      </c>
      <c r="K32" s="197">
        <f>IF(K$29&lt;LCC總表!$E$9+LCC總表!$E$6,IF(LCC總表!$I$28="電力",能源價格!AV$30+能源價格!AV$42,IF(LCC總表!$I$28="柴油",能源價格!AV$6,0))
/(1+LCC總表!$I$7*0.01)^(K29-LCC總表!$I$9+1)+(LCC總表!$I$40+LCC總表!$I$46-LCC總表!$I$48)/(1+LCC總表!$E$7*0.01)^(K29-LCC總表!$E$9+1),0)</f>
        <v>8971.744269998424</v>
      </c>
      <c r="L32" s="197">
        <f>IF(L$29&lt;LCC總表!$E$9+LCC總表!$E$6,IF(LCC總表!$I$28="電力",能源價格!AW$30+能源價格!AW$42,IF(LCC總表!$I$28="柴油",能源價格!AW$6,0))
/(1+LCC總表!$I$7*0.01)^(L29-LCC總表!$I$9+1)+(LCC總表!$I$40+LCC總表!$I$46-LCC總表!$I$48)/(1+LCC總表!$E$7*0.01)^(L29-LCC總表!$E$9+1),0)</f>
        <v>0</v>
      </c>
      <c r="M32" s="197">
        <f>IF(M$29&lt;LCC總表!$E$9+LCC總表!$E$6,IF(LCC總表!$I$28="電力",能源價格!AX$30+能源價格!AX$42,IF(LCC總表!$I$28="柴油",能源價格!AX$6,0))
/(1+LCC總表!$I$7*0.01)^(M29-LCC總表!$I$9+1)+(LCC總表!$I$40+LCC總表!$I$46-LCC總表!$I$48)/(1+LCC總表!$E$7*0.01)^(M29-LCC總表!$E$9+1),0)</f>
        <v>0</v>
      </c>
      <c r="N32" s="197">
        <f>IF(N$29&lt;LCC總表!$E$9+LCC總表!$E$6,IF(LCC總表!$I$28="電力",能源價格!AY$30+能源價格!AY$42,IF(LCC總表!$I$28="柴油",能源價格!AY$6,0))
/(1+LCC總表!$I$7*0.01)^(N29-LCC總表!$I$9+1)+(LCC總表!$I$40+LCC總表!$I$46-LCC總表!$I$48)/(1+LCC總表!$E$7*0.01)^(N29-LCC總表!$E$9+1),0)</f>
        <v>0</v>
      </c>
      <c r="O32" s="197">
        <f>IF(O$29&lt;LCC總表!$E$9+LCC總表!$E$6,IF(LCC總表!$I$28="電力",能源價格!AZ$30+能源價格!AZ$42,IF(LCC總表!$I$28="柴油",能源價格!AZ$6,0))
/(1+LCC總表!$I$7*0.01)^(O29-LCC總表!$I$9+1)+(LCC總表!$I$40+LCC總表!$I$46-LCC總表!$I$48)/(1+LCC總表!$E$7*0.01)^(O29-LCC總表!$E$9+1),0)</f>
        <v>0</v>
      </c>
      <c r="P32" s="197">
        <f>IF(P$29&lt;LCC總表!$E$9+LCC總表!$E$6,IF(LCC總表!$I$28="電力",能源價格!BA$30+能源價格!BA$42,IF(LCC總表!$I$28="柴油",能源價格!BA$6,0))
/(1+LCC總表!$I$7*0.01)^(P29-LCC總表!$I$9+1)+(LCC總表!$I$40+LCC總表!$I$46-LCC總表!$I$48)/(1+LCC總表!$E$7*0.01)^(P29-LCC總表!$E$9+1),0)</f>
        <v>0</v>
      </c>
      <c r="Q32" s="197">
        <f>IF(Q$29&lt;LCC總表!$E$9+LCC總表!$E$6,IF(LCC總表!$I$28="電力",能源價格!BB$30+能源價格!BB$42,IF(LCC總表!$I$28="柴油",能源價格!BB$6,0))
/(1+LCC總表!$I$7*0.01)^(Q29-LCC總表!$I$9+1)+(LCC總表!$I$40+LCC總表!$I$46-LCC總表!$I$48)/(1+LCC總表!$E$7*0.01)^(Q29-LCC總表!$E$9+1),0)</f>
        <v>0</v>
      </c>
      <c r="R32" s="197">
        <f>IF(R$29&lt;LCC總表!$E$9+LCC總表!$E$6,IF(LCC總表!$I$28="電力",能源價格!BC$30+能源價格!BC$42,IF(LCC總表!$I$28="柴油",能源價格!BC$6,0))
/(1+LCC總表!$I$7*0.01)^(R29-LCC總表!$I$9+1)+(LCC總表!$I$40+LCC總表!$I$46-LCC總表!$I$48)/(1+LCC總表!$E$7*0.01)^(R29-LCC總表!$E$9+1),0)</f>
        <v>0</v>
      </c>
      <c r="S32" s="197">
        <f>IF(S$29&lt;LCC總表!$E$9+LCC總表!$E$6,IF(LCC總表!$I$28="電力",能源價格!BD$30+能源價格!BD$42,IF(LCC總表!$I$28="柴油",能源價格!BD$6,0))
/(1+LCC總表!$I$7*0.01)^(S29-LCC總表!$I$9+1)+(LCC總表!$I$40+LCC總表!$I$46-LCC總表!$I$48)/(1+LCC總表!$E$7*0.01)^(S29-LCC總表!$E$9+1),0)</f>
        <v>0</v>
      </c>
      <c r="T32" s="197">
        <f>IF(T$29&lt;LCC總表!$E$9+LCC總表!$E$6,IF(LCC總表!$I$28="電力",能源價格!BE$30+能源價格!BE$42,IF(LCC總表!$I$28="柴油",能源價格!BE$6,0))
/(1+LCC總表!$I$7*0.01)^(T29-LCC總表!$I$9+1)+(LCC總表!$I$40+LCC總表!$I$46-LCC總表!$I$48)/(1+LCC總表!$E$7*0.01)^(T29-LCC總表!$E$9+1),0)</f>
        <v>0</v>
      </c>
      <c r="U32" s="197">
        <f>IF(U$29&lt;LCC總表!$E$9+LCC總表!$E$6,IF(LCC總表!$I$28="電力",能源價格!BF$30+能源價格!BF$42,IF(LCC總表!$I$28="柴油",能源價格!BF$6,0))
/(1+LCC總表!$I$7*0.01)^(U29-LCC總表!$I$9+1)+(LCC總表!$I$40+LCC總表!$I$46-LCC總表!$I$48)/(1+LCC總表!$E$7*0.01)^(U29-LCC總表!$E$9+1),0)</f>
        <v>0</v>
      </c>
      <c r="V32" s="197">
        <f>IF(V$29&lt;LCC總表!$E$9+LCC總表!$E$6,IF(LCC總表!$I$28="電力",能源價格!BG$30+能源價格!BG$42,IF(LCC總表!$I$28="柴油",能源價格!BG$6,0))
/(1+LCC總表!$I$7*0.01)^(V29-LCC總表!$I$9+1)+(LCC總表!$I$40+LCC總表!$I$46-LCC總表!$I$48)/(1+LCC總表!$E$7*0.01)^(V29-LCC總表!$E$9+1),0)</f>
        <v>0</v>
      </c>
      <c r="W32" s="197">
        <f>IF(W$29&lt;LCC總表!$E$9+LCC總表!$E$6,IF(LCC總表!$I$28="電力",能源價格!BH$30+能源價格!BH$42,IF(LCC總表!$I$28="柴油",能源價格!BH$6,0))
/(1+LCC總表!$I$7*0.01)^(W29-LCC總表!$I$9+1)+(LCC總表!$I$40+LCC總表!$I$46-LCC總表!$I$48)/(1+LCC總表!$E$7*0.01)^(W29-LCC總表!$E$9+1),0)</f>
        <v>0</v>
      </c>
      <c r="X32" s="197">
        <f>IF(X$29&lt;LCC總表!$E$9+LCC總表!$E$6,IF(LCC總表!$I$28="電力",能源價格!BI$30+能源價格!BI$42,IF(LCC總表!$I$28="柴油",能源價格!BI$6,0))
/(1+LCC總表!$I$7*0.01)^(X29-LCC總表!$I$9+1)+(LCC總表!$I$40+LCC總表!$I$46-LCC總表!$I$48)/(1+LCC總表!$E$7*0.01)^(X29-LCC總表!$E$9+1),0)</f>
        <v>0</v>
      </c>
      <c r="Y32" s="197">
        <f>IF(Y$29&lt;LCC總表!$E$9+LCC總表!$E$6,IF(LCC總表!$I$28="電力",能源價格!BJ$30+能源價格!BJ$42,IF(LCC總表!$I$28="柴油",能源價格!BJ$6,0))
/(1+LCC總表!$I$7*0.01)^(Y29-LCC總表!$I$9+1)+(LCC總表!$I$40+LCC總表!$I$46-LCC總表!$I$48)/(1+LCC總表!$E$7*0.01)^(Y29-LCC總表!$E$9+1),0)</f>
        <v>0</v>
      </c>
      <c r="Z32" s="182"/>
    </row>
    <row r="33" spans="1:26" ht="16.5">
      <c r="A33" s="194"/>
      <c r="B33" s="181"/>
      <c r="C33" s="196" t="s">
        <v>220</v>
      </c>
      <c r="D33" s="197">
        <f>IF(LCC總表!$K$14&lt;&gt;0,LCC總表!$K$15+LCC總表!$K$19+LCC總表!$K$20/LCC總表!$G$14+LCC總表!$K$21/LCC總表!$K$14+IF(LCC總表!$K$28="電力",能源價格!AO$28,IF(LCC總表!$K$28="柴油",能源價格!AO$4,0))/(1+LCC總表!$E$7*0.01)^('計算過程(勿更動)'!D$29-LCC總表!$E$9+1)+(LCC總表!$K$40+LCC總表!$K$46-LCC總表!$K$48)/(1+LCC總表!$E$7*0.01)^('計算過程(勿更動)'!D$29-LCC總表!$E$9+1)-LCC總表!$K$47-LCC總表!$K$65,0)</f>
        <v>6071565.7828947837</v>
      </c>
      <c r="E33" s="197">
        <f>IF(E$29&lt;LCC總表!$E$9+LCC總表!$E$6,IF(LCC總表!$K$28="電力",能源價格!AP$31+能源價格!AP$43,IF(LCC總表!$K$28="柴油",能源價格!AP$7,0))
/(1+LCC總表!$K$7*0.01)^(E29-LCC總表!$K$9+1)+(LCC總表!$K$40+LCC總表!$K$46-LCC總表!$K$48)/(1+LCC總表!$E$7*0.01)^(E29-LCC總表!$E$9+1),0)</f>
        <v>-91741.645482386506</v>
      </c>
      <c r="F33" s="197">
        <f>IF(F$29&lt;LCC總表!$E$9+LCC總表!$E$6,IF(LCC總表!$K$28="電力",能源價格!AQ$31+能源價格!AQ$43,IF(LCC總表!$K$28="柴油",能源價格!AQ$7,0))
/(1+LCC總表!$K$7*0.01)^(F29-LCC總表!$K$9+1)+(LCC總表!$K$40+LCC總表!$K$46-LCC總表!$K$48)/(1+LCC總表!$E$7*0.01)^(F29-LCC總表!$E$9+1),0)</f>
        <v>-89001.109302879791</v>
      </c>
      <c r="G33" s="197">
        <f>IF(G$29&lt;LCC總表!$E$9+LCC總表!$E$6,IF(LCC總表!$K$28="電力",能源價格!AR$31+能源價格!AR$43,IF(LCC總表!$K$28="柴油",能源價格!AR$7,0))
/(1+LCC總表!$K$7*0.01)^(G29-LCC總表!$K$9+1)+(LCC總表!$K$40+LCC總表!$K$46-LCC總表!$K$48)/(1+LCC總表!$E$7*0.01)^(G29-LCC總表!$E$9+1),0)</f>
        <v>-82609.606067090732</v>
      </c>
      <c r="H33" s="197">
        <f>IF(H$29&lt;LCC總表!$E$9+LCC總表!$E$6,IF(LCC總表!$K$28="電力",能源價格!AS$31+能源價格!AS$43,IF(LCC總表!$K$28="柴油",能源價格!AS$7,0))
/(1+LCC總表!$K$7*0.01)^(H29-LCC總表!$K$9+1)+(LCC總表!$K$40+LCC總表!$K$46-LCC總表!$K$48)/(1+LCC總表!$E$7*0.01)^(H29-LCC總表!$E$9+1),0)</f>
        <v>-75388.284354702046</v>
      </c>
      <c r="I33" s="197">
        <f>IF(I$29&lt;LCC總表!$E$9+LCC總表!$E$6,IF(LCC總表!$K$28="電力",能源價格!AT$31+能源價格!AT$43,IF(LCC總表!$K$28="柴油",能源價格!AT$7,0))
/(1+LCC總表!$K$7*0.01)^(I29-LCC總表!$K$9+1)+(LCC總表!$K$40+LCC總表!$K$46-LCC總表!$K$48)/(1+LCC總表!$E$7*0.01)^(I29-LCC總表!$E$9+1),0)</f>
        <v>-70999.984980589317</v>
      </c>
      <c r="J33" s="197">
        <f>IF(J$29&lt;LCC總表!$E$9+LCC總表!$E$6,IF(LCC總表!$K$28="電力",能源價格!AU$31+能源價格!AU$43,IF(LCC總表!$K$28="柴油",能源價格!AU$7,0))
/(1+LCC總表!$K$7*0.01)^(J29-LCC總表!$K$9+1)+(LCC總表!$K$40+LCC總表!$K$46-LCC總表!$K$48)/(1+LCC總表!$E$7*0.01)^(J29-LCC總表!$E$9+1),0)</f>
        <v>-64958.867852051597</v>
      </c>
      <c r="K33" s="197">
        <f>IF(K$29&lt;LCC總表!$E$9+LCC總表!$E$6,IF(LCC總表!$K$28="電力",能源價格!AV$31+能源價格!AV$43,IF(LCC總表!$K$28="柴油",能源價格!AV$7,0))
/(1+LCC總表!$K$7*0.01)^(K29-LCC總表!$K$9+1)+(LCC總表!$K$40+LCC總表!$K$46-LCC總表!$K$48)/(1+LCC總表!$E$7*0.01)^(K29-LCC總表!$E$9+1),0)</f>
        <v>-58848.231959848054</v>
      </c>
      <c r="L33" s="197">
        <f>IF(L$29&lt;LCC總表!$E$9+LCC總表!$E$6,IF(LCC總表!$K$28="電力",能源價格!AW$31+能源價格!AW$43,IF(LCC總表!$K$28="柴油",能源價格!AW$7,0))
/(1+LCC總表!$K$7*0.01)^(L29-LCC總表!$K$9+1)+(LCC總表!$K$40+LCC總表!$K$46-LCC總表!$K$48)/(1+LCC總表!$E$7*0.01)^(L29-LCC總表!$E$9+1),0)</f>
        <v>0</v>
      </c>
      <c r="M33" s="197">
        <f>IF(M$29&lt;LCC總表!$E$9+LCC總表!$E$6,IF(LCC總表!$K$28="電力",能源價格!AX$31+能源價格!AX$43,IF(LCC總表!$K$28="柴油",能源價格!AX$7,0))
/(1+LCC總表!$K$7*0.01)^(M29-LCC總表!$K$9+1)+(LCC總表!$K$40+LCC總表!$K$46-LCC總表!$K$48)/(1+LCC總表!$E$7*0.01)^(M29-LCC總表!$E$9+1),0)</f>
        <v>0</v>
      </c>
      <c r="N33" s="197">
        <f>IF(N$29&lt;LCC總表!$E$9+LCC總表!$E$6,IF(LCC總表!$K$28="電力",能源價格!AY$31+能源價格!AY$43,IF(LCC總表!$K$28="柴油",能源價格!AY$7,0))
/(1+LCC總表!$K$7*0.01)^(N29-LCC總表!$K$9+1)+(LCC總表!$K$40+LCC總表!$K$46-LCC總表!$K$48)/(1+LCC總表!$E$7*0.01)^(N29-LCC總表!$E$9+1),0)</f>
        <v>0</v>
      </c>
      <c r="O33" s="197">
        <f>IF(O$29&lt;LCC總表!$E$9+LCC總表!$E$6,IF(LCC總表!$K$28="電力",能源價格!AZ$31+能源價格!AZ$43,IF(LCC總表!$K$28="柴油",能源價格!AZ$7,0))
/(1+LCC總表!$K$7*0.01)^(O29-LCC總表!$K$9+1)+(LCC總表!$K$40+LCC總表!$K$46-LCC總表!$K$48)/(1+LCC總表!$E$7*0.01)^(O29-LCC總表!$E$9+1),0)</f>
        <v>0</v>
      </c>
      <c r="P33" s="197">
        <f>IF(P$29&lt;LCC總表!$E$9+LCC總表!$E$6,IF(LCC總表!$K$28="電力",能源價格!BA$31+能源價格!BA$43,IF(LCC總表!$K$28="柴油",能源價格!BA$7,0))
/(1+LCC總表!$K$7*0.01)^(P29-LCC總表!$K$9+1)+(LCC總表!$K$40+LCC總表!$K$46-LCC總表!$K$48)/(1+LCC總表!$E$7*0.01)^(P29-LCC總表!$E$9+1),0)</f>
        <v>0</v>
      </c>
      <c r="Q33" s="197">
        <f>IF(Q$29&lt;LCC總表!$E$9+LCC總表!$E$6,IF(LCC總表!$K$28="電力",能源價格!BB$31+能源價格!BB$43,IF(LCC總表!$K$28="柴油",能源價格!BB$7,0))
/(1+LCC總表!$K$7*0.01)^(Q29-LCC總表!$K$9+1)+(LCC總表!$K$40+LCC總表!$K$46-LCC總表!$K$48)/(1+LCC總表!$E$7*0.01)^(Q29-LCC總表!$E$9+1),0)</f>
        <v>0</v>
      </c>
      <c r="R33" s="197">
        <f>IF(R$29&lt;LCC總表!$E$9+LCC總表!$E$6,IF(LCC總表!$K$28="電力",能源價格!BC$31+能源價格!BC$43,IF(LCC總表!$K$28="柴油",能源價格!BC$7,0))
/(1+LCC總表!$K$7*0.01)^(R29-LCC總表!$K$9+1)+(LCC總表!$K$40+LCC總表!$K$46-LCC總表!$K$48)/(1+LCC總表!$E$7*0.01)^(R29-LCC總表!$E$9+1),0)</f>
        <v>0</v>
      </c>
      <c r="S33" s="197">
        <f>IF(S$29&lt;LCC總表!$E$9+LCC總表!$E$6,IF(LCC總表!$K$28="電力",能源價格!BD$31+能源價格!BD$43,IF(LCC總表!$K$28="柴油",能源價格!BD$7,0))
/(1+LCC總表!$K$7*0.01)^(S29-LCC總表!$K$9+1)+(LCC總表!$K$40+LCC總表!$K$46-LCC總表!$K$48)/(1+LCC總表!$E$7*0.01)^(S29-LCC總表!$E$9+1),0)</f>
        <v>0</v>
      </c>
      <c r="T33" s="197">
        <f>IF(T$29&lt;LCC總表!$E$9+LCC總表!$E$6,IF(LCC總表!$K$28="電力",能源價格!BE$31+能源價格!BE$43,IF(LCC總表!$K$28="柴油",能源價格!BE$7,0))
/(1+LCC總表!$K$7*0.01)^(T29-LCC總表!$K$9+1)+(LCC總表!$K$40+LCC總表!$K$46-LCC總表!$K$48)/(1+LCC總表!$E$7*0.01)^(T29-LCC總表!$E$9+1),0)</f>
        <v>0</v>
      </c>
      <c r="U33" s="197">
        <f>IF(U$29&lt;LCC總表!$E$9+LCC總表!$E$6,IF(LCC總表!$K$28="電力",能源價格!BF$31+能源價格!BF$43,IF(LCC總表!$K$28="柴油",能源價格!BF$7,0))
/(1+LCC總表!$K$7*0.01)^(U29-LCC總表!$K$9+1)+(LCC總表!$K$40+LCC總表!$K$46-LCC總表!$K$48)/(1+LCC總表!$E$7*0.01)^(U29-LCC總表!$E$9+1),0)</f>
        <v>0</v>
      </c>
      <c r="V33" s="197">
        <f>IF(V$29&lt;LCC總表!$E$9+LCC總表!$E$6,IF(LCC總表!$K$28="電力",能源價格!BG$31+能源價格!BG$43,IF(LCC總表!$K$28="柴油",能源價格!BG$7,0))
/(1+LCC總表!$K$7*0.01)^(V29-LCC總表!$K$9+1)+(LCC總表!$K$40+LCC總表!$K$46-LCC總表!$K$48)/(1+LCC總表!$E$7*0.01)^(V29-LCC總表!$E$9+1),0)</f>
        <v>0</v>
      </c>
      <c r="W33" s="197">
        <f>IF(W$29&lt;LCC總表!$E$9+LCC總表!$E$6,IF(LCC總表!$K$28="電力",能源價格!BH$31+能源價格!BH$43,IF(LCC總表!$K$28="柴油",能源價格!BH$7,0))
/(1+LCC總表!$K$7*0.01)^(W29-LCC總表!$K$9+1)+(LCC總表!$K$40+LCC總表!$K$46-LCC總表!$K$48)/(1+LCC總表!$E$7*0.01)^(W29-LCC總表!$E$9+1),0)</f>
        <v>0</v>
      </c>
      <c r="X33" s="197">
        <f>IF(X$29&lt;LCC總表!$E$9+LCC總表!$E$6,IF(LCC總表!$K$28="電力",能源價格!BI$31+能源價格!BI$43,IF(LCC總表!$K$28="柴油",能源價格!BI$7,0))
/(1+LCC總表!$K$7*0.01)^(X29-LCC總表!$K$9+1)+(LCC總表!$K$40+LCC總表!$K$46-LCC總表!$K$48)/(1+LCC總表!$E$7*0.01)^(X29-LCC總表!$E$9+1),0)</f>
        <v>0</v>
      </c>
      <c r="Y33" s="197">
        <f>IF(Y$29&lt;LCC總表!$E$9+LCC總表!$E$6,IF(LCC總表!$K$28="電力",能源價格!BJ$31+能源價格!BJ$43,IF(LCC總表!$K$28="柴油",能源價格!BJ$7,0))
/(1+LCC總表!$K$7*0.01)^(Y29-LCC總表!$K$9+1)+(LCC總表!$K$40+LCC總表!$K$46-LCC總表!$K$48)/(1+LCC總表!$E$7*0.01)^(Y29-LCC總表!$E$9+1),0)</f>
        <v>0</v>
      </c>
      <c r="Z33" s="182"/>
    </row>
    <row r="34" spans="1:26" ht="16.5">
      <c r="A34" s="194"/>
      <c r="B34" s="181"/>
      <c r="C34" s="196" t="s">
        <v>221</v>
      </c>
      <c r="D34" s="197">
        <f>IF(LCC總表!$M$14&lt;&gt;0,LCC總表!$M$15+LCC總表!$M$19+LCC總表!$M$20/LCC總表!$M$14+LCC總表!$M$21/LCC總表!$M$14+IF(LCC總表!$M$28="電力",能源價格!AO$28,IF(LCC總表!$M$28="柴油",能源價格!AO$4,0))/(1+LCC總表!$E$7*0.01)^('計算過程(勿更動)'!D$29-LCC總表!$E$9+1)+(LCC總表!$M$40+LCC總表!$M$46-LCC總表!$M$48)/(1+LCC總表!$E$7*0.01)^('計算過程(勿更動)'!D$29-LCC總表!$E$9+1)-LCC總表!$M$47-LCC總表!$M$65,0)</f>
        <v>5442037.6436097557</v>
      </c>
      <c r="E34" s="197">
        <f>IF(E$29&lt;LCC總表!$E$9+LCC總表!$E$6,IF(LCC總表!$M$28="電力",能源價格!AP$32+能源價格!AP$44,IF(LCC總表!$M$28="柴油",能源價格!AP$8,0))
/(1+LCC總表!$M$7*0.01)^(E29-LCC總表!$M$9+1)+(LCC總表!$M$40+LCC總表!$M$46-LCC總表!$M$48)/(1+LCC總表!$E$7*0.01)^(E29-LCC總表!$E$9+1),0)</f>
        <v>476506.98089505133</v>
      </c>
      <c r="F34" s="197">
        <f>IF(F$29&lt;LCC總表!$E$9+LCC總表!$E$6,IF(LCC總表!$M$28="電力",能源價格!AQ$32+能源價格!AQ$44,IF(LCC總表!$M$28="柴油",能源價格!AQ$8,0))
/(1+LCC總表!$M$7*0.01)^(F29-LCC總表!$M$9+1)+(LCC總表!$M$40+LCC總表!$M$46-LCC總表!$M$48)/(1+LCC總表!$E$7*0.01)^(F29-LCC總表!$E$9+1),0)</f>
        <v>481248.95084548456</v>
      </c>
      <c r="G34" s="197">
        <f>IF(G$29&lt;LCC總表!$E$9+LCC總表!$E$6,IF(LCC總表!$M$28="電力",能源價格!AR$32+能源價格!AR$44,IF(LCC總表!$M$28="柴油",能源價格!AR$8,0))
/(1+LCC總表!$M$7*0.01)^(G29-LCC總表!$M$9+1)+(LCC總表!$M$40+LCC總表!$M$46-LCC總表!$M$48)/(1+LCC總表!$E$7*0.01)^(G29-LCC總表!$E$9+1),0)</f>
        <v>481905.2967065858</v>
      </c>
      <c r="H34" s="197">
        <f>IF(H$29&lt;LCC總表!$E$9+LCC總表!$E$6,IF(LCC總表!$M$28="電力",能源價格!AS$32+能源價格!AS$44,IF(LCC總表!$M$28="柴油",能源價格!AS$8,0))
/(1+LCC總表!$M$7*0.01)^(H29-LCC總表!$M$9+1)+(LCC總表!$M$40+LCC總表!$M$46-LCC總表!$M$48)/(1+LCC總表!$E$7*0.01)^(H29-LCC總表!$E$9+1),0)</f>
        <v>490195.93317444425</v>
      </c>
      <c r="I34" s="197">
        <f>IF(I$29&lt;LCC總表!$E$9+LCC總表!$E$6,IF(LCC總表!$M$28="電力",能源價格!AT$32+能源價格!AT$44,IF(LCC總表!$M$28="柴油",能源價格!AT$8,0))
/(1+LCC總表!$M$7*0.01)^(I29-LCC總表!$M$9+1)+(LCC總表!$M$40+LCC總表!$M$46-LCC總表!$M$48)/(1+LCC總表!$E$7*0.01)^(I29-LCC總表!$E$9+1),0)</f>
        <v>501435.48103271675</v>
      </c>
      <c r="J34" s="197">
        <f>IF(J$29&lt;LCC總表!$E$9+LCC總表!$E$6,IF(LCC總表!$M$28="電力",能源價格!AU$32+能源價格!AU$44,IF(LCC總表!$M$28="柴油",能源價格!AU$8,0))
/(1+LCC總表!$M$7*0.01)^(J29-LCC總表!$M$9+1)+(LCC總表!$M$40+LCC總表!$M$46-LCC總表!$M$48)/(1+LCC總表!$E$7*0.01)^(J29-LCC總表!$E$9+1),0)</f>
        <v>506235.18153620872</v>
      </c>
      <c r="K34" s="197">
        <f>IF(K$29&lt;LCC總表!$E$9+LCC總表!$E$6,IF(LCC總表!$M$28="電力",能源價格!AV$32+能源價格!AV$44,IF(LCC總表!$M$28="柴油",能源價格!AV$8,0))
/(1+LCC總表!$M$7*0.01)^(K29-LCC總表!$M$9+1)+(LCC總表!$M$40+LCC總表!$M$46-LCC總表!$M$48)/(1+LCC總表!$E$7*0.01)^(K29-LCC總表!$E$9+1),0)</f>
        <v>508208.70310791681</v>
      </c>
      <c r="L34" s="197">
        <f>IF(L$29&lt;LCC總表!$E$9+LCC總表!$E$6,IF(LCC總表!$M$28="電力",能源價格!AW$32+能源價格!AW$44,IF(LCC總表!$M$28="柴油",能源價格!AW$8,0))
/(1+LCC總表!$M$7*0.01)^(L29-LCC總表!$M$9+1)+(LCC總表!$M$40+LCC總表!$M$46-LCC總表!$M$48)/(1+LCC總表!$E$7*0.01)^(L29-LCC總表!$E$9+1),0)</f>
        <v>0</v>
      </c>
      <c r="M34" s="197">
        <f>IF(M$29&lt;LCC總表!$E$9+LCC總表!$E$6,IF(LCC總表!$M$28="電力",能源價格!AX$32+能源價格!AX$44,IF(LCC總表!$M$28="柴油",能源價格!AX$8,0))
/(1+LCC總表!$M$7*0.01)^(M29-LCC總表!$M$9+1)+(LCC總表!$M$40+LCC總表!$M$46-LCC總表!$M$48)/(1+LCC總表!$E$7*0.01)^(M29-LCC總表!$E$9+1),0)</f>
        <v>0</v>
      </c>
      <c r="N34" s="197">
        <f>IF(N$29&lt;LCC總表!$E$9+LCC總表!$E$6,IF(LCC總表!$M$28="電力",能源價格!AY$32+能源價格!AY$44,IF(LCC總表!$M$28="柴油",能源價格!AY$8,0))
/(1+LCC總表!$M$7*0.01)^(N29-LCC總表!$M$9+1)+(LCC總表!$M$40+LCC總表!$M$46-LCC總表!$M$48)/(1+LCC總表!$E$7*0.01)^(N29-LCC總表!$E$9+1),0)</f>
        <v>0</v>
      </c>
      <c r="O34" s="197">
        <f>IF(O$29&lt;LCC總表!$E$9+LCC總表!$E$6,IF(LCC總表!$M$28="電力",能源價格!AZ$32+能源價格!AZ$44,IF(LCC總表!$M$28="柴油",能源價格!AZ$8,0))
/(1+LCC總表!$M$7*0.01)^(O29-LCC總表!$M$9+1)+(LCC總表!$M$40+LCC總表!$M$46-LCC總表!$M$48)/(1+LCC總表!$E$7*0.01)^(O29-LCC總表!$E$9+1),0)</f>
        <v>0</v>
      </c>
      <c r="P34" s="197">
        <f>IF(P$29&lt;LCC總表!$E$9+LCC總表!$E$6,IF(LCC總表!$M$28="電力",能源價格!BA$32+能源價格!BA$44,IF(LCC總表!$M$28="柴油",能源價格!BA$8,0))
/(1+LCC總表!$M$7*0.01)^(P29-LCC總表!$M$9+1)+(LCC總表!$M$40+LCC總表!$M$46-LCC總表!$M$48)/(1+LCC總表!$E$7*0.01)^(P29-LCC總表!$E$9+1),0)</f>
        <v>0</v>
      </c>
      <c r="Q34" s="197">
        <f>IF(Q$29&lt;LCC總表!$E$9+LCC總表!$E$6,IF(LCC總表!$M$28="電力",能源價格!BB$32+能源價格!BB$44,IF(LCC總表!$M$28="柴油",能源價格!BB$8,0))
/(1+LCC總表!$M$7*0.01)^(Q29-LCC總表!$M$9+1)+(LCC總表!$M$40+LCC總表!$M$46-LCC總表!$M$48)/(1+LCC總表!$E$7*0.01)^(Q29-LCC總表!$E$9+1),0)</f>
        <v>0</v>
      </c>
      <c r="R34" s="197">
        <f>IF(R$29&lt;LCC總表!$E$9+LCC總表!$E$6,IF(LCC總表!$M$28="電力",能源價格!BC$32+能源價格!BC$44,IF(LCC總表!$M$28="柴油",能源價格!BC$8,0))
/(1+LCC總表!$M$7*0.01)^(R29-LCC總表!$M$9+1)+(LCC總表!$M$40+LCC總表!$M$46-LCC總表!$M$48)/(1+LCC總表!$E$7*0.01)^(R29-LCC總表!$E$9+1),0)</f>
        <v>0</v>
      </c>
      <c r="S34" s="197">
        <f>IF(S$29&lt;LCC總表!$E$9+LCC總表!$E$6,IF(LCC總表!$M$28="電力",能源價格!BD$32+能源價格!BD$44,IF(LCC總表!$M$28="柴油",能源價格!BD$8,0))
/(1+LCC總表!$M$7*0.01)^(S29-LCC總表!$M$9+1)+(LCC總表!$M$40+LCC總表!$M$46-LCC總表!$M$48)/(1+LCC總表!$E$7*0.01)^(S29-LCC總表!$E$9+1),0)</f>
        <v>0</v>
      </c>
      <c r="T34" s="197">
        <f>IF(T$29&lt;LCC總表!$E$9+LCC總表!$E$6,IF(LCC總表!$M$28="電力",能源價格!BE$32+能源價格!BE$44,IF(LCC總表!$M$28="柴油",能源價格!BE$8,0))
/(1+LCC總表!$M$7*0.01)^(T29-LCC總表!$M$9+1)+(LCC總表!$M$40+LCC總表!$M$46-LCC總表!$M$48)/(1+LCC總表!$E$7*0.01)^(T29-LCC總表!$E$9+1),0)</f>
        <v>0</v>
      </c>
      <c r="U34" s="197">
        <f>IF(U$29&lt;LCC總表!$E$9+LCC總表!$E$6,IF(LCC總表!$M$28="電力",能源價格!BF$32+能源價格!BF$44,IF(LCC總表!$M$28="柴油",能源價格!BF$8,0))
/(1+LCC總表!$M$7*0.01)^(U29-LCC總表!$M$9+1)+(LCC總表!$M$40+LCC總表!$M$46-LCC總表!$M$48)/(1+LCC總表!$E$7*0.01)^(U29-LCC總表!$E$9+1),0)</f>
        <v>0</v>
      </c>
      <c r="V34" s="197">
        <f>IF(V$29&lt;LCC總表!$E$9+LCC總表!$E$6,IF(LCC總表!$M$28="電力",能源價格!BG$32+能源價格!BG$44,IF(LCC總表!$M$28="柴油",能源價格!BG$8,0))
/(1+LCC總表!$M$7*0.01)^(V29-LCC總表!$M$9+1)+(LCC總表!$M$40+LCC總表!$M$46-LCC總表!$M$48)/(1+LCC總表!$E$7*0.01)^(V29-LCC總表!$E$9+1),0)</f>
        <v>0</v>
      </c>
      <c r="W34" s="197">
        <f>IF(W$29&lt;LCC總表!$E$9+LCC總表!$E$6,IF(LCC總表!$M$28="電力",能源價格!BH$32+能源價格!BH$44,IF(LCC總表!$M$28="柴油",能源價格!BH$8,0))
/(1+LCC總表!$M$7*0.01)^(W29-LCC總表!$M$9+1)+(LCC總表!$M$40+LCC總表!$M$46-LCC總表!$M$48)/(1+LCC總表!$E$7*0.01)^(W29-LCC總表!$E$9+1),0)</f>
        <v>0</v>
      </c>
      <c r="X34" s="197">
        <f>IF(X$29&lt;LCC總表!$E$9+LCC總表!$E$6,IF(LCC總表!$M$28="電力",能源價格!BI$32+能源價格!BI$44,IF(LCC總表!$M$28="柴油",能源價格!BI$8,0))
/(1+LCC總表!$M$7*0.01)^(X29-LCC總表!$M$9+1)+(LCC總表!$M$40+LCC總表!$M$46-LCC總表!$M$48)/(1+LCC總表!$E$7*0.01)^(X29-LCC總表!$E$9+1),0)</f>
        <v>0</v>
      </c>
      <c r="Y34" s="197">
        <f>IF(Y$29&lt;LCC總表!$E$9+LCC總表!$E$6,IF(LCC總表!$M$28="電力",能源價格!BJ$32+能源價格!BJ$44,IF(LCC總表!$M$28="柴油",能源價格!BJ$8,0))
/(1+LCC總表!$M$7*0.01)^(Y29-LCC總表!$M$9+1)+(LCC總表!$M$40+LCC總表!$M$46-LCC總表!$M$48)/(1+LCC總表!$E$7*0.01)^(Y29-LCC總表!$E$9+1),0)</f>
        <v>0</v>
      </c>
      <c r="Z34" s="182"/>
    </row>
    <row r="35" spans="1:26" ht="16.5">
      <c r="A35" s="194"/>
      <c r="B35" s="181"/>
      <c r="C35" s="196" t="s">
        <v>222</v>
      </c>
      <c r="D35" s="197">
        <f>IF(LCC總表!$O$14&lt;&gt;0,LCC總表!$O$15+LCC總表!$O$19+LCC總表!$O$20/LCC總表!$O$14+LCC總表!$O$21/LCC總表!$O$14+IF(LCC總表!$O$28="電力",能源價格!AO$28,IF(LCC總表!$O$28="柴油",能源價格!AO$4,0))/(1+LCC總表!$E$7*0.01)^('計算過程(勿更動)'!D$29-LCC總表!$E$9+1)+(LCC總表!$O$40+LCC總表!$O$46-LCC總表!$O$48)/(1+LCC總表!$E$7*0.01)^('計算過程(勿更動)'!D$29-LCC總表!$E$9+1)-LCC總表!$O$47-LCC總表!$O$65,0)</f>
        <v>0</v>
      </c>
      <c r="E35" s="197">
        <f>IF(E$29&lt;LCC總表!$E$9+LCC總表!$E$6,IF(LCC總表!$O$28="電力",能源價格!AP$33+能源價格!AP$45,IF(LCC總表!$O$28="柴油",能源價格!AP$9,0))
/(1+LCC總表!$O$7*0.01)^(E29-LCC總表!$O$9+1)+(LCC總表!$O$40+LCC總表!$O$46-LCC總表!$O$48)/(1+LCC總表!$E$7*0.01)^(E29-LCC總表!$E$9+1),0)</f>
        <v>0</v>
      </c>
      <c r="F35" s="197">
        <f>IF($E$29&lt;LCC總表!$E$9+LCC總表!$E$6,IF(LCC總表!$O$28="電力",能源價格!AQ$33+能源價格!AQ$45,IF(LCC總表!$O$28="柴油",能源價格!AQ$9,0))
/(1+LCC總表!$O$7*0.01)^(F29-LCC總表!$O$9+1)+(LCC總表!$O$40+LCC總表!$O$46-LCC總表!$O$48)/(1+LCC總表!$E$7*0.01)^(F29-LCC總表!$E$9+1),0)</f>
        <v>0</v>
      </c>
      <c r="G35" s="197">
        <f>IF($E$29&lt;LCC總表!$E$9+LCC總表!$E$6,IF(LCC總表!$O$28="電力",能源價格!AR$33+能源價格!AR$45,IF(LCC總表!$O$28="柴油",能源價格!AR$9,0))
/(1+LCC總表!$O$7*0.01)^(G29-LCC總表!$O$9+1)+(LCC總表!$O$40+LCC總表!$O$46-LCC總表!$O$48)/(1+LCC總表!$E$7*0.01)^(G29-LCC總表!$E$9+1),0)</f>
        <v>0</v>
      </c>
      <c r="H35" s="197">
        <f>IF($E$29&lt;LCC總表!$E$9+LCC總表!$E$6,IF(LCC總表!$O$28="電力",能源價格!AS$33+能源價格!AS$45,IF(LCC總表!$O$28="柴油",能源價格!AS$9,0))
/(1+LCC總表!$O$7*0.01)^(H29-LCC總表!$O$9+1)+(LCC總表!$O$40+LCC總表!$O$46-LCC總表!$O$48)/(1+LCC總表!$E$7*0.01)^(H29-LCC總表!$E$9+1),0)</f>
        <v>0</v>
      </c>
      <c r="I35" s="197">
        <f>IF($E$29&lt;LCC總表!$E$9+LCC總表!$E$6,IF(LCC總表!$O$28="電力",能源價格!AT$33+能源價格!AT$45,IF(LCC總表!$O$28="柴油",能源價格!AT$9,0))
/(1+LCC總表!$O$7*0.01)^(I29-LCC總表!$O$9+1)+(LCC總表!$O$40+LCC總表!$O$46-LCC總表!$O$48)/(1+LCC總表!$E$7*0.01)^(I29-LCC總表!$E$9+1),0)</f>
        <v>0</v>
      </c>
      <c r="J35" s="197">
        <f>IF($E$29&lt;LCC總表!$E$9+LCC總表!$E$6,IF(LCC總表!$O$28="電力",能源價格!AU$33+能源價格!AU$45,IF(LCC總表!$O$28="柴油",能源價格!AU$9,0))
/(1+LCC總表!$O$7*0.01)^(J29-LCC總表!$O$9+1)+(LCC總表!$O$40+LCC總表!$O$46-LCC總表!$O$48)/(1+LCC總表!$E$7*0.01)^(J29-LCC總表!$E$9+1),0)</f>
        <v>0</v>
      </c>
      <c r="K35" s="197">
        <f>IF($E$29&lt;LCC總表!$E$9+LCC總表!$E$6,IF(LCC總表!$O$28="電力",能源價格!AV$33+能源價格!AV$45,IF(LCC總表!$O$28="柴油",能源價格!AV$9,0))
/(1+LCC總表!$O$7*0.01)^(K29-LCC總表!$O$9+1)+(LCC總表!$O$40+LCC總表!$O$46-LCC總表!$O$48)/(1+LCC總表!$E$7*0.01)^(K29-LCC總表!$E$9+1),0)</f>
        <v>0</v>
      </c>
      <c r="L35" s="197">
        <f>IF($E$29&lt;LCC總表!$E$9+LCC總表!$E$6,IF(LCC總表!$O$28="電力",能源價格!AW$33+能源價格!AW$45,IF(LCC總表!$O$28="柴油",能源價格!AW$9,0))
/(1+LCC總表!$O$7*0.01)^(L29-LCC總表!$O$9+1)+(LCC總表!$O$40+LCC總表!$O$46-LCC總表!$O$48)/(1+LCC總表!$E$7*0.01)^(L29-LCC總表!$E$9+1),0)</f>
        <v>0</v>
      </c>
      <c r="M35" s="197">
        <f>IF($E$29&lt;LCC總表!$E$9+LCC總表!$E$6,IF(LCC總表!$O$28="電力",能源價格!AX$33+能源價格!AX$45,IF(LCC總表!$O$28="柴油",能源價格!AX$9,0))
/(1+LCC總表!$O$7*0.01)^(M29-LCC總表!$O$9+1)+(LCC總表!$O$40+LCC總表!$O$46-LCC總表!$O$48)/(1+LCC總表!$E$7*0.01)^(M29-LCC總表!$E$9+1),0)</f>
        <v>0</v>
      </c>
      <c r="N35" s="197">
        <f>IF($E$29&lt;LCC總表!$E$9+LCC總表!$E$6,IF(LCC總表!$O$28="電力",能源價格!AY$33+能源價格!AY$45,IF(LCC總表!$O$28="柴油",能源價格!AY$9,0))
/(1+LCC總表!$O$7*0.01)^(N29-LCC總表!$O$9+1)+(LCC總表!$O$40+LCC總表!$O$46-LCC總表!$O$48)/(1+LCC總表!$E$7*0.01)^(N29-LCC總表!$E$9+1),0)</f>
        <v>0</v>
      </c>
      <c r="O35" s="197">
        <f>IF($E$29&lt;LCC總表!$E$9+LCC總表!$E$6,IF(LCC總表!$O$28="電力",能源價格!AZ$33+能源價格!AZ$45,IF(LCC總表!$O$28="柴油",能源價格!AZ$9,0))
/(1+LCC總表!$O$7*0.01)^(O29-LCC總表!$O$9+1)+(LCC總表!$O$40+LCC總表!$O$46-LCC總表!$O$48)/(1+LCC總表!$E$7*0.01)^(O29-LCC總表!$E$9+1),0)</f>
        <v>0</v>
      </c>
      <c r="P35" s="197">
        <f>IF($E$29&lt;LCC總表!$E$9+LCC總表!$E$6,IF(LCC總表!$O$28="電力",能源價格!BA$33+能源價格!BA$45,IF(LCC總表!$O$28="柴油",能源價格!BA$9,0))
/(1+LCC總表!$O$7*0.01)^(P29-LCC總表!$O$9+1)+(LCC總表!$O$40+LCC總表!$O$46-LCC總表!$O$48)/(1+LCC總表!$E$7*0.01)^(P29-LCC總表!$E$9+1),0)</f>
        <v>0</v>
      </c>
      <c r="Q35" s="197">
        <f>IF($E$29&lt;LCC總表!$E$9+LCC總表!$E$6,IF(LCC總表!$O$28="電力",能源價格!BB$33+能源價格!BB$45,IF(LCC總表!$O$28="柴油",能源價格!BB$9,0))
/(1+LCC總表!$O$7*0.01)^(Q29-LCC總表!$O$9+1)+(LCC總表!$O$40+LCC總表!$O$46-LCC總表!$O$48)/(1+LCC總表!$E$7*0.01)^(Q29-LCC總表!$E$9+1),0)</f>
        <v>0</v>
      </c>
      <c r="R35" s="197">
        <f>IF($E$29&lt;LCC總表!$E$9+LCC總表!$E$6,IF(LCC總表!$O$28="電力",能源價格!BC$33+能源價格!BC$45,IF(LCC總表!$O$28="柴油",能源價格!BC$9,0))
/(1+LCC總表!$O$7*0.01)^(R29-LCC總表!$O$9+1)+(LCC總表!$O$40+LCC總表!$O$46-LCC總表!$O$48)/(1+LCC總表!$E$7*0.01)^(R29-LCC總表!$E$9+1),0)</f>
        <v>0</v>
      </c>
      <c r="S35" s="197">
        <f>IF($E$29&lt;LCC總表!$E$9+LCC總表!$E$6,IF(LCC總表!$O$28="電力",能源價格!BD$33+能源價格!BD$45,IF(LCC總表!$O$28="柴油",能源價格!BD$9,0))
/(1+LCC總表!$O$7*0.01)^(S29-LCC總表!$O$9+1)+(LCC總表!$O$40+LCC總表!$O$46-LCC總表!$O$48)/(1+LCC總表!$E$7*0.01)^(S29-LCC總表!$E$9+1),0)</f>
        <v>0</v>
      </c>
      <c r="T35" s="197">
        <f>IF($E$29&lt;LCC總表!$E$9+LCC總表!$E$6,IF(LCC總表!$O$28="電力",能源價格!BE$33+能源價格!BE$45,IF(LCC總表!$O$28="柴油",能源價格!BE$9,0))
/(1+LCC總表!$O$7*0.01)^(T29-LCC總表!$O$9+1)+(LCC總表!$O$40+LCC總表!$O$46-LCC總表!$O$48)/(1+LCC總表!$E$7*0.01)^(T29-LCC總表!$E$9+1),0)</f>
        <v>0</v>
      </c>
      <c r="U35" s="197">
        <f>IF($E$29&lt;LCC總表!$E$9+LCC總表!$E$6,IF(LCC總表!$O$28="電力",能源價格!BF$33+能源價格!BF$45,IF(LCC總表!$O$28="柴油",能源價格!BF$9,0))
/(1+LCC總表!$O$7*0.01)^(U29-LCC總表!$O$9+1)+(LCC總表!$O$40+LCC總表!$O$46-LCC總表!$O$48)/(1+LCC總表!$E$7*0.01)^(U29-LCC總表!$E$9+1),0)</f>
        <v>0</v>
      </c>
      <c r="V35" s="197">
        <f>IF($E$29&lt;LCC總表!$E$9+LCC總表!$E$6,IF(LCC總表!$O$28="電力",能源價格!BG$33+能源價格!BG$45,IF(LCC總表!$O$28="柴油",能源價格!BG$9,0))
/(1+LCC總表!$O$7*0.01)^(V29-LCC總表!$O$9+1)+(LCC總表!$O$40+LCC總表!$O$46-LCC總表!$O$48)/(1+LCC總表!$E$7*0.01)^(V29-LCC總表!$E$9+1),0)</f>
        <v>0</v>
      </c>
      <c r="W35" s="197">
        <f>IF($E$29&lt;LCC總表!$E$9+LCC總表!$E$6,IF(LCC總表!$O$28="電力",能源價格!BH$33+能源價格!BH$45,IF(LCC總表!$O$28="柴油",能源價格!BH$9,0))
/(1+LCC總表!$O$7*0.01)^(W29-LCC總表!$O$9+1)+(LCC總表!$O$40+LCC總表!$O$46-LCC總表!$O$48)/(1+LCC總表!$E$7*0.01)^(W29-LCC總表!$E$9+1),0)</f>
        <v>0</v>
      </c>
      <c r="X35" s="197">
        <f>IF($E$29&lt;LCC總表!$E$9+LCC總表!$E$6,IF(LCC總表!$O$28="電力",能源價格!BI$33+能源價格!BI$45,IF(LCC總表!$O$28="柴油",能源價格!BI$9,0))
/(1+LCC總表!$O$7*0.01)^(X29-LCC總表!$O$9+1)+(LCC總表!$O$40+LCC總表!$O$46-LCC總表!$O$48)/(1+LCC總表!$E$7*0.01)^(X29-LCC總表!$E$9+1),0)</f>
        <v>0</v>
      </c>
      <c r="Y35" s="197">
        <f>IF($E$29&lt;LCC總表!$E$9+LCC總表!$E$6,IF(LCC總表!$O$28="電力",能源價格!BJ$33+能源價格!BJ$45,IF(LCC總表!$O$28="柴油",能源價格!BJ$9,0))
/(1+LCC總表!$O$7*0.01)^(Y29-LCC總表!$O$9+1)+(LCC總表!$O$40+LCC總表!$O$46-LCC總表!$O$48)/(1+LCC總表!$E$7*0.01)^(Y29-LCC總表!$E$9+1),0)</f>
        <v>0</v>
      </c>
      <c r="Z35" s="182"/>
    </row>
    <row r="36" spans="1:26" ht="16.5">
      <c r="A36" s="194"/>
      <c r="B36" s="181"/>
      <c r="C36" s="196" t="s">
        <v>223</v>
      </c>
      <c r="D36" s="197">
        <f>IF(LCC總表!$Q$14&lt;&gt;0,LCC總表!$Q$15+LCC總表!$Q$19+LCC總表!$Q$20/LCC總表!$Q$14+LCC總表!$Q$21/LCC總表!$Q$14+IF(LCC總表!$Q$28="電力",能源價格!AO$28,IF(LCC總表!$Q$28="柴油",能源價格!AO$4,0))/(1+LCC總表!$E$7*0.01)^('計算過程(勿更動)'!D$29-LCC總表!$E$9+1)+(LCC總表!$Q$40+LCC總表!$Q$46-LCC總表!$Q$48)/(1+LCC總表!$E$7*0.01)^('計算過程(勿更動)'!D$29-LCC總表!$E$9+1)-LCC總表!$Q$47-LCC總表!$Q$65,0)</f>
        <v>0</v>
      </c>
      <c r="E36" s="197">
        <f>IF(E$29&lt;LCC總表!$E$9+LCC總表!$E$6,IF(LCC總表!$Q$28="電力",能源價格!AP$34+能源價格!AP$46,IF(LCC總表!$Q$28="柴油",能源價格!AP$10,0))
/(1+LCC總表!$Q$7*0.01)^(E29-LCC總表!$Q$9+1)+(LCC總表!$Q$40+LCC總表!$Q$46-LCC總表!$Q$48)/(1+LCC總表!$E$7*0.01)^(E29-LCC總表!$E$9+1),0)</f>
        <v>0</v>
      </c>
      <c r="F36" s="197">
        <f>IF($E$29&lt;LCC總表!$E$9+LCC總表!$E$6,IF(LCC總表!$Q$28="電力",能源價格!AQ$34+能源價格!AQ$46,IF(LCC總表!$Q$28="柴油",能源價格!AQ$10,0))
/(1+LCC總表!$Q$7*0.01)^(F29-LCC總表!$Q$9+1)+(LCC總表!$Q$40+LCC總表!$Q$46-LCC總表!$Q$48)/(1+LCC總表!$E$7*0.01)^(F29-LCC總表!$E$9+1),0)</f>
        <v>0</v>
      </c>
      <c r="G36" s="197">
        <f>IF($E$29&lt;LCC總表!$E$9+LCC總表!$E$6,IF(LCC總表!$Q$28="電力",能源價格!AR$34+能源價格!AR$46,IF(LCC總表!$Q$28="柴油",能源價格!AR$10,0))
/(1+LCC總表!$Q$7*0.01)^(G29-LCC總表!$Q$9+1)+(LCC總表!$Q$40+LCC總表!$Q$46-LCC總表!$Q$48)/(1+LCC總表!$E$7*0.01)^(G29-LCC總表!$E$9+1),0)</f>
        <v>0</v>
      </c>
      <c r="H36" s="197">
        <f>IF($E$29&lt;LCC總表!$E$9+LCC總表!$E$6,IF(LCC總表!$Q$28="電力",能源價格!AS$34+能源價格!AS$46,IF(LCC總表!$Q$28="柴油",能源價格!AS$10,0))
/(1+LCC總表!$Q$7*0.01)^(H29-LCC總表!$Q$9+1)+(LCC總表!$Q$40+LCC總表!$Q$46-LCC總表!$Q$48)/(1+LCC總表!$E$7*0.01)^(H29-LCC總表!$E$9+1),0)</f>
        <v>0</v>
      </c>
      <c r="I36" s="197">
        <f>IF($E$29&lt;LCC總表!$E$9+LCC總表!$E$6,IF(LCC總表!$Q$28="電力",能源價格!AT$34+能源價格!AT$46,IF(LCC總表!$Q$28="柴油",能源價格!AT$10,0))
/(1+LCC總表!$Q$7*0.01)^(I29-LCC總表!$Q$9+1)+(LCC總表!$Q$40+LCC總表!$Q$46-LCC總表!$Q$48)/(1+LCC總表!$E$7*0.01)^(I29-LCC總表!$E$9+1),0)</f>
        <v>0</v>
      </c>
      <c r="J36" s="197">
        <f>IF($E$29&lt;LCC總表!$E$9+LCC總表!$E$6,IF(LCC總表!$Q$28="電力",能源價格!AU$34+能源價格!AU$46,IF(LCC總表!$Q$28="柴油",能源價格!AU$10,0))
/(1+LCC總表!$Q$7*0.01)^(J29-LCC總表!$Q$9+1)+(LCC總表!$Q$40+LCC總表!$Q$46-LCC總表!$Q$48)/(1+LCC總表!$E$7*0.01)^(J29-LCC總表!$E$9+1),0)</f>
        <v>0</v>
      </c>
      <c r="K36" s="197">
        <f>IF($E$29&lt;LCC總表!$E$9+LCC總表!$E$6,IF(LCC總表!$Q$28="電力",能源價格!AV$34+能源價格!AV$46,IF(LCC總表!$Q$28="柴油",能源價格!AV$10,0))
/(1+LCC總表!$Q$7*0.01)^(K29-LCC總表!$Q$9+1)+(LCC總表!$Q$40+LCC總表!$Q$46-LCC總表!$Q$48)/(1+LCC總表!$E$7*0.01)^(K29-LCC總表!$E$9+1),0)</f>
        <v>0</v>
      </c>
      <c r="L36" s="197">
        <f>IF($E$29&lt;LCC總表!$E$9+LCC總表!$E$6,IF(LCC總表!$Q$28="電力",能源價格!AW$34+能源價格!AW$46,IF(LCC總表!$Q$28="柴油",能源價格!AW$10,0))
/(1+LCC總表!$Q$7*0.01)^(L29-LCC總表!$Q$9+1)+(LCC總表!$Q$40+LCC總表!$Q$46-LCC總表!$Q$48)/(1+LCC總表!$E$7*0.01)^(L29-LCC總表!$E$9+1),0)</f>
        <v>0</v>
      </c>
      <c r="M36" s="197">
        <f>IF($E$29&lt;LCC總表!$E$9+LCC總表!$E$6,IF(LCC總表!$Q$28="電力",能源價格!AX$34+能源價格!AX$46,IF(LCC總表!$Q$28="柴油",能源價格!AX$10,0))
/(1+LCC總表!$Q$7*0.01)^(M29-LCC總表!$Q$9+1)+(LCC總表!$Q$40+LCC總表!$Q$46-LCC總表!$Q$48)/(1+LCC總表!$E$7*0.01)^(M29-LCC總表!$E$9+1),0)</f>
        <v>0</v>
      </c>
      <c r="N36" s="197">
        <f>IF($E$29&lt;LCC總表!$E$9+LCC總表!$E$6,IF(LCC總表!$Q$28="電力",能源價格!AY$34+能源價格!AY$46,IF(LCC總表!$Q$28="柴油",能源價格!AY$10,0))
/(1+LCC總表!$Q$7*0.01)^(N29-LCC總表!$Q$9+1)+(LCC總表!$Q$40+LCC總表!$Q$46-LCC總表!$Q$48)/(1+LCC總表!$E$7*0.01)^(N29-LCC總表!$E$9+1),0)</f>
        <v>0</v>
      </c>
      <c r="O36" s="197">
        <f>IF($E$29&lt;LCC總表!$E$9+LCC總表!$E$6,IF(LCC總表!$Q$28="電力",能源價格!AZ$34+能源價格!AZ$46,IF(LCC總表!$Q$28="柴油",能源價格!AZ$10,0))
/(1+LCC總表!$Q$7*0.01)^(O29-LCC總表!$Q$9+1)+(LCC總表!$Q$40+LCC總表!$Q$46-LCC總表!$Q$48)/(1+LCC總表!$E$7*0.01)^(O29-LCC總表!$E$9+1),0)</f>
        <v>0</v>
      </c>
      <c r="P36" s="197">
        <f>IF($E$29&lt;LCC總表!$E$9+LCC總表!$E$6,IF(LCC總表!$Q$28="電力",能源價格!BA$34+能源價格!BA$46,IF(LCC總表!$Q$28="柴油",能源價格!BA$10,0))
/(1+LCC總表!$Q$7*0.01)^(P29-LCC總表!$Q$9+1)+(LCC總表!$Q$40+LCC總表!$Q$46-LCC總表!$Q$48)/(1+LCC總表!$E$7*0.01)^(P29-LCC總表!$E$9+1),0)</f>
        <v>0</v>
      </c>
      <c r="Q36" s="197">
        <f>IF($E$29&lt;LCC總表!$E$9+LCC總表!$E$6,IF(LCC總表!$Q$28="電力",能源價格!BB$34+能源價格!BB$46,IF(LCC總表!$Q$28="柴油",能源價格!BB$10,0))
/(1+LCC總表!$Q$7*0.01)^(Q29-LCC總表!$Q$9+1)+(LCC總表!$Q$40+LCC總表!$Q$46-LCC總表!$Q$48)/(1+LCC總表!$E$7*0.01)^(Q29-LCC總表!$E$9+1),0)</f>
        <v>0</v>
      </c>
      <c r="R36" s="197">
        <f>IF($E$29&lt;LCC總表!$E$9+LCC總表!$E$6,IF(LCC總表!$Q$28="電力",能源價格!BC$34+能源價格!BC$46,IF(LCC總表!$Q$28="柴油",能源價格!BC$10,0))
/(1+LCC總表!$Q$7*0.01)^(R29-LCC總表!$Q$9+1)+(LCC總表!$Q$40+LCC總表!$Q$46-LCC總表!$Q$48)/(1+LCC總表!$E$7*0.01)^(R29-LCC總表!$E$9+1),0)</f>
        <v>0</v>
      </c>
      <c r="S36" s="197">
        <f>IF($E$29&lt;LCC總表!$E$9+LCC總表!$E$6,IF(LCC總表!$Q$28="電力",能源價格!BD$34+能源價格!BD$46,IF(LCC總表!$Q$28="柴油",能源價格!BD$10,0))
/(1+LCC總表!$Q$7*0.01)^(S29-LCC總表!$Q$9+1)+(LCC總表!$Q$40+LCC總表!$Q$46-LCC總表!$Q$48)/(1+LCC總表!$E$7*0.01)^(S29-LCC總表!$E$9+1),0)</f>
        <v>0</v>
      </c>
      <c r="T36" s="197">
        <f>IF($E$29&lt;LCC總表!$E$9+LCC總表!$E$6,IF(LCC總表!$Q$28="電力",能源價格!BE$34+能源價格!BE$46,IF(LCC總表!$Q$28="柴油",能源價格!BE$10,0))
/(1+LCC總表!$Q$7*0.01)^(T29-LCC總表!$Q$9+1)+(LCC總表!$Q$40+LCC總表!$Q$46-LCC總表!$Q$48)/(1+LCC總表!$E$7*0.01)^(T29-LCC總表!$E$9+1),0)</f>
        <v>0</v>
      </c>
      <c r="U36" s="197">
        <f>IF($E$29&lt;LCC總表!$E$9+LCC總表!$E$6,IF(LCC總表!$Q$28="電力",能源價格!BF$34+能源價格!BF$46,IF(LCC總表!$Q$28="柴油",能源價格!BF$10,0))
/(1+LCC總表!$Q$7*0.01)^(U29-LCC總表!$Q$9+1)+(LCC總表!$Q$40+LCC總表!$Q$46-LCC總表!$Q$48)/(1+LCC總表!$E$7*0.01)^(U29-LCC總表!$E$9+1),0)</f>
        <v>0</v>
      </c>
      <c r="V36" s="197">
        <f>IF($E$29&lt;LCC總表!$E$9+LCC總表!$E$6,IF(LCC總表!$Q$28="電力",能源價格!BG$34+能源價格!BG$46,IF(LCC總表!$Q$28="柴油",能源價格!BG$10,0))
/(1+LCC總表!$Q$7*0.01)^(V29-LCC總表!$Q$9+1)+(LCC總表!$Q$40+LCC總表!$Q$46-LCC總表!$Q$48)/(1+LCC總表!$E$7*0.01)^(V29-LCC總表!$E$9+1),0)</f>
        <v>0</v>
      </c>
      <c r="W36" s="197">
        <f>IF($E$29&lt;LCC總表!$E$9+LCC總表!$E$6,IF(LCC總表!$Q$28="電力",能源價格!BH$34+能源價格!BH$46,IF(LCC總表!$Q$28="柴油",能源價格!BH$10,0))
/(1+LCC總表!$Q$7*0.01)^(W29-LCC總表!$Q$9+1)+(LCC總表!$Q$40+LCC總表!$Q$46-LCC總表!$Q$48)/(1+LCC總表!$E$7*0.01)^(W29-LCC總表!$E$9+1),0)</f>
        <v>0</v>
      </c>
      <c r="X36" s="197">
        <f>IF($E$29&lt;LCC總表!$E$9+LCC總表!$E$6,IF(LCC總表!$Q$28="電力",能源價格!BI$34+能源價格!BI$46,IF(LCC總表!$Q$28="柴油",能源價格!BI$10,0))
/(1+LCC總表!$Q$7*0.01)^(X29-LCC總表!$Q$9+1)+(LCC總表!$Q$40+LCC總表!$Q$46-LCC總表!$Q$48)/(1+LCC總表!$E$7*0.01)^(X29-LCC總表!$E$9+1),0)</f>
        <v>0</v>
      </c>
      <c r="Y36" s="197">
        <f>IF($E$29&lt;LCC總表!$E$9+LCC總表!$E$6,IF(LCC總表!$Q$28="電力",能源價格!BJ$34+能源價格!BJ$46,IF(LCC總表!$Q$28="柴油",能源價格!BJ$10,0))
/(1+LCC總表!$Q$7*0.01)^(Y29-LCC總表!$Q$9+1)+(LCC總表!$Q$40+LCC總表!$Q$46-LCC總表!$Q$48)/(1+LCC總表!$E$7*0.01)^(Y29-LCC總表!$E$9+1),0)</f>
        <v>0</v>
      </c>
      <c r="Z36" s="182"/>
    </row>
    <row r="37" spans="1:26" ht="16.5">
      <c r="A37" s="194"/>
      <c r="B37" s="181"/>
      <c r="C37" s="196" t="s">
        <v>224</v>
      </c>
      <c r="D37" s="197">
        <f>IF(LCC總表!$S$14&lt;&gt;0,LCC總表!$S$15+LCC總表!$S$19+LCC總表!$S$20/LCC總表!$S$14+LCC總表!$S$21/LCC總表!$S$14+IF(LCC總表!$S$28="電力",能源價格!AO$28,IF(LCC總表!$S$28="柴油",能源價格!AO$4,0))/(1+LCC總表!$E$7*0.01)^('計算過程(勿更動)'!D$29-LCC總表!$E$9+1)+(LCC總表!$S$40+LCC總表!$S$46-LCC總表!$S$48)/(1+LCC總表!$E$7*0.01)^('計算過程(勿更動)'!D$29-LCC總表!$E$9+1)-LCC總表!$S$47-LCC總表!$S$65,0)</f>
        <v>0</v>
      </c>
      <c r="E37" s="197">
        <f>IF(E$29&lt;LCC總表!$E$9+LCC總表!$E$6,IF(LCC總表!$S$28="電力",能源價格!AP$35+能源價格!AP$47,IF(LCC總表!$S$28="柴油",能源價格!AP$11,0))
/(1+LCC總表!$S$7*0.01)^(E29-LCC總表!$S$9+1)+(LCC總表!$S$40+LCC總表!$S$46-LCC總表!$S$48)/(1+LCC總表!$E$7*0.01)^(E29-LCC總表!$E$9+1),0)</f>
        <v>0</v>
      </c>
      <c r="F37" s="197">
        <f>IF($E$29&lt;LCC總表!$E$9+LCC總表!$E$6,IF(LCC總表!$S$28="電力",能源價格!AQ$35+能源價格!AQ$47,IF(LCC總表!$S$28="柴油",能源價格!AQ$11,0))
/(1+LCC總表!$S$7*0.01)^(F29-LCC總表!$S$9+1)+(LCC總表!$S$40+LCC總表!$S$46-LCC總表!$S$48)/(1+LCC總表!$E$7*0.01)^(F29-LCC總表!$E$9+1),0)</f>
        <v>0</v>
      </c>
      <c r="G37" s="197">
        <f>IF($E$29&lt;LCC總表!$E$9+LCC總表!$E$6,IF(LCC總表!$S$28="電力",能源價格!AR$35+能源價格!AR$47,IF(LCC總表!$S$28="柴油",能源價格!AR$11,0))
/(1+LCC總表!$S$7*0.01)^(G29-LCC總表!$S$9+1)+(LCC總表!$S$40+LCC總表!$S$46-LCC總表!$S$48)/(1+LCC總表!$E$7*0.01)^(G29-LCC總表!$E$9+1),0)</f>
        <v>0</v>
      </c>
      <c r="H37" s="197">
        <f>IF($E$29&lt;LCC總表!$E$9+LCC總表!$E$6,IF(LCC總表!$S$28="電力",能源價格!AS$35+能源價格!AS$47,IF(LCC總表!$S$28="柴油",能源價格!AS$11,0))
/(1+LCC總表!$S$7*0.01)^(H29-LCC總表!$S$9+1)+(LCC總表!$S$40+LCC總表!$S$46-LCC總表!$S$48)/(1+LCC總表!$E$7*0.01)^(H29-LCC總表!$E$9+1),0)</f>
        <v>0</v>
      </c>
      <c r="I37" s="197">
        <f>IF($E$29&lt;LCC總表!$E$9+LCC總表!$E$6,IF(LCC總表!$S$28="電力",能源價格!AT$35+能源價格!AT$47,IF(LCC總表!$S$28="柴油",能源價格!AT$11,0))
/(1+LCC總表!$S$7*0.01)^(I29-LCC總表!$S$9+1)+(LCC總表!$S$40+LCC總表!$S$46-LCC總表!$S$48)/(1+LCC總表!$E$7*0.01)^(I29-LCC總表!$E$9+1),0)</f>
        <v>0</v>
      </c>
      <c r="J37" s="197">
        <f>IF($E$29&lt;LCC總表!$E$9+LCC總表!$E$6,IF(LCC總表!$S$28="電力",能源價格!AU$35+能源價格!AU$47,IF(LCC總表!$S$28="柴油",能源價格!AU$11,0))
/(1+LCC總表!$S$7*0.01)^(J29-LCC總表!$S$9+1)+(LCC總表!$S$40+LCC總表!$S$46-LCC總表!$S$48)/(1+LCC總表!$E$7*0.01)^(J29-LCC總表!$E$9+1),0)</f>
        <v>0</v>
      </c>
      <c r="K37" s="197">
        <f>IF($E$29&lt;LCC總表!$E$9+LCC總表!$E$6,IF(LCC總表!$S$28="電力",能源價格!AV$35+能源價格!AV$47,IF(LCC總表!$S$28="柴油",能源價格!AV$11,0))
/(1+LCC總表!$S$7*0.01)^(K29-LCC總表!$S$9+1)+(LCC總表!$S$40+LCC總表!$S$46-LCC總表!$S$48)/(1+LCC總表!$E$7*0.01)^(K29-LCC總表!$E$9+1),0)</f>
        <v>0</v>
      </c>
      <c r="L37" s="197">
        <f>IF($E$29&lt;LCC總表!$E$9+LCC總表!$E$6,IF(LCC總表!$S$28="電力",能源價格!AW$35+能源價格!AW$47,IF(LCC總表!$S$28="柴油",能源價格!AW$11,0))
/(1+LCC總表!$S$7*0.01)^(L29-LCC總表!$S$9+1)+(LCC總表!$S$40+LCC總表!$S$46-LCC總表!$S$48)/(1+LCC總表!$E$7*0.01)^(L29-LCC總表!$E$9+1),0)</f>
        <v>0</v>
      </c>
      <c r="M37" s="197">
        <f>IF($E$29&lt;LCC總表!$E$9+LCC總表!$E$6,IF(LCC總表!$S$28="電力",能源價格!AX$35+能源價格!AX$47,IF(LCC總表!$S$28="柴油",能源價格!AX$11,0))
/(1+LCC總表!$S$7*0.01)^(M29-LCC總表!$S$9+1)+(LCC總表!$S$40+LCC總表!$S$46-LCC總表!$S$48)/(1+LCC總表!$E$7*0.01)^(M29-LCC總表!$E$9+1),0)</f>
        <v>0</v>
      </c>
      <c r="N37" s="197">
        <f>IF($E$29&lt;LCC總表!$E$9+LCC總表!$E$6,IF(LCC總表!$S$28="電力",能源價格!AY$35+能源價格!AY$47,IF(LCC總表!$S$28="柴油",能源價格!AY$11,0))
/(1+LCC總表!$S$7*0.01)^(N29-LCC總表!$S$9+1)+(LCC總表!$S$40+LCC總表!$S$46-LCC總表!$S$48)/(1+LCC總表!$E$7*0.01)^(N29-LCC總表!$E$9+1),0)</f>
        <v>0</v>
      </c>
      <c r="O37" s="197">
        <f>IF($E$29&lt;LCC總表!$E$9+LCC總表!$E$6,IF(LCC總表!$S$28="電力",能源價格!AZ$35+能源價格!AZ$47,IF(LCC總表!$S$28="柴油",能源價格!AZ$11,0))
/(1+LCC總表!$S$7*0.01)^(O29-LCC總表!$S$9+1)+(LCC總表!$S$40+LCC總表!$S$46-LCC總表!$S$48)/(1+LCC總表!$E$7*0.01)^(O29-LCC總表!$E$9+1),0)</f>
        <v>0</v>
      </c>
      <c r="P37" s="197">
        <f>IF($E$29&lt;LCC總表!$E$9+LCC總表!$E$6,IF(LCC總表!$S$28="電力",能源價格!BA$35+能源價格!BA$47,IF(LCC總表!$S$28="柴油",能源價格!BA$11,0))
/(1+LCC總表!$S$7*0.01)^(P29-LCC總表!$S$9+1)+(LCC總表!$S$40+LCC總表!$S$46-LCC總表!$S$48)/(1+LCC總表!$E$7*0.01)^(P29-LCC總表!$E$9+1),0)</f>
        <v>0</v>
      </c>
      <c r="Q37" s="197">
        <f>IF($E$29&lt;LCC總表!$E$9+LCC總表!$E$6,IF(LCC總表!$S$28="電力",能源價格!BB$35+能源價格!BB$47,IF(LCC總表!$S$28="柴油",能源價格!BB$11,0))
/(1+LCC總表!$S$7*0.01)^(Q29-LCC總表!$S$9+1)+(LCC總表!$S$40+LCC總表!$S$46-LCC總表!$S$48)/(1+LCC總表!$E$7*0.01)^(Q29-LCC總表!$E$9+1),0)</f>
        <v>0</v>
      </c>
      <c r="R37" s="197">
        <f>IF($E$29&lt;LCC總表!$E$9+LCC總表!$E$6,IF(LCC總表!$S$28="電力",能源價格!BC$35+能源價格!BC$47,IF(LCC總表!$S$28="柴油",能源價格!BC$11,0))
/(1+LCC總表!$S$7*0.01)^(R29-LCC總表!$S$9+1)+(LCC總表!$S$40+LCC總表!$S$46-LCC總表!$S$48)/(1+LCC總表!$E$7*0.01)^(R29-LCC總表!$E$9+1),0)</f>
        <v>0</v>
      </c>
      <c r="S37" s="197">
        <f>IF($E$29&lt;LCC總表!$E$9+LCC總表!$E$6,IF(LCC總表!$S$28="電力",能源價格!BD$35+能源價格!BD$47,IF(LCC總表!$S$28="柴油",能源價格!BD$11,0))
/(1+LCC總表!$S$7*0.01)^(S29-LCC總表!$S$9+1)+(LCC總表!$S$40+LCC總表!$S$46-LCC總表!$S$48)/(1+LCC總表!$E$7*0.01)^(S29-LCC總表!$E$9+1),0)</f>
        <v>0</v>
      </c>
      <c r="T37" s="197">
        <f>IF($E$29&lt;LCC總表!$E$9+LCC總表!$E$6,IF(LCC總表!$S$28="電力",能源價格!BE$35+能源價格!BE$47,IF(LCC總表!$S$28="柴油",能源價格!BE$11,0))
/(1+LCC總表!$S$7*0.01)^(T29-LCC總表!$S$9+1)+(LCC總表!$S$40+LCC總表!$S$46-LCC總表!$S$48)/(1+LCC總表!$E$7*0.01)^(T29-LCC總表!$E$9+1),0)</f>
        <v>0</v>
      </c>
      <c r="U37" s="197">
        <f>IF($E$29&lt;LCC總表!$E$9+LCC總表!$E$6,IF(LCC總表!$S$28="電力",能源價格!BF$35+能源價格!BF$47,IF(LCC總表!$S$28="柴油",能源價格!BF$11,0))
/(1+LCC總表!$S$7*0.01)^(U29-LCC總表!$S$9+1)+(LCC總表!$S$40+LCC總表!$S$46-LCC總表!$S$48)/(1+LCC總表!$E$7*0.01)^(U29-LCC總表!$E$9+1),0)</f>
        <v>0</v>
      </c>
      <c r="V37" s="197">
        <f>IF($E$29&lt;LCC總表!$E$9+LCC總表!$E$6,IF(LCC總表!$S$28="電力",能源價格!BG$35+能源價格!BG$47,IF(LCC總表!$S$28="柴油",能源價格!BG$11,0))
/(1+LCC總表!$S$7*0.01)^(V29-LCC總表!$S$9+1)+(LCC總表!$S$40+LCC總表!$S$46-LCC總表!$S$48)/(1+LCC總表!$E$7*0.01)^(V29-LCC總表!$E$9+1),0)</f>
        <v>0</v>
      </c>
      <c r="W37" s="197">
        <f>IF($E$29&lt;LCC總表!$E$9+LCC總表!$E$6,IF(LCC總表!$S$28="電力",能源價格!BH$35+能源價格!BH$47,IF(LCC總表!$S$28="柴油",能源價格!BH$11,0))
/(1+LCC總表!$S$7*0.01)^(W29-LCC總表!$S$9+1)+(LCC總表!$S$40+LCC總表!$S$46-LCC總表!$S$48)/(1+LCC總表!$E$7*0.01)^(W29-LCC總表!$E$9+1),0)</f>
        <v>0</v>
      </c>
      <c r="X37" s="197">
        <f>IF($E$29&lt;LCC總表!$E$9+LCC總表!$E$6,IF(LCC總表!$S$28="電力",能源價格!BI$35+能源價格!BI$47,IF(LCC總表!$S$28="柴油",能源價格!BI$11,0))
/(1+LCC總表!$S$7*0.01)^(X29-LCC總表!$S$9+1)+(LCC總表!$S$40+LCC總表!$S$46-LCC總表!$S$48)/(1+LCC總表!$E$7*0.01)^(X29-LCC總表!$E$9+1),0)</f>
        <v>0</v>
      </c>
      <c r="Y37" s="197">
        <f>IF($E$29&lt;LCC總表!$E$9+LCC總表!$E$6,IF(LCC總表!$S$28="電力",能源價格!BJ$35+能源價格!BJ$47,IF(LCC總表!$S$28="柴油",能源價格!BJ$11,0))
/(1+LCC總表!$S$7*0.01)^(Y29-LCC總表!$S$9+1)+(LCC總表!$S$40+LCC總表!$S$46-LCC總表!$S$48)/(1+LCC總表!$E$7*0.01)^(Y29-LCC總表!$E$9+1),0)</f>
        <v>0</v>
      </c>
      <c r="Z37" s="182"/>
    </row>
    <row r="38" spans="1:26" ht="16.5">
      <c r="A38" s="194"/>
      <c r="B38" s="181"/>
      <c r="C38" s="196" t="s">
        <v>225</v>
      </c>
      <c r="D38" s="197">
        <f>IF(LCC總表!$U$14&lt;&gt;0,LCC總表!$U$15+LCC總表!$U$19+LCC總表!$U$20/LCC總表!$U$14+LCC總表!$U$21/LCC總表!$U$14+IF(LCC總表!$U$28="電力",能源價格!AO$28,IF(LCC總表!$U$28="柴油",能源價格!AO$4,0))/(1+LCC總表!$E$7*0.01)^('計算過程(勿更動)'!D$29-LCC總表!$E$9+1)+(LCC總表!$U$40+LCC總表!$U$46-LCC總表!$U$48)/(1+LCC總表!$E$7*0.01)^('計算過程(勿更動)'!D$29-LCC總表!$E$9+1)-LCC總表!$U$47-LCC總表!$U$65,0)</f>
        <v>0</v>
      </c>
      <c r="E38" s="197">
        <f>IF(E$29&lt;LCC總表!$E$9+LCC總表!$E$6,IF(LCC總表!$U$28="電力",能源價格!AP$36+能源價格!AP$48,IF(LCC總表!$U$28="柴油",能源價格!AP$12,0))
/(1+LCC總表!$U$7*0.01)^(E29-LCC總表!$U$9+1)+(LCC總表!$U$40+LCC總表!$U$46-LCC總表!$U$48)/(1+LCC總表!$E$7*0.01)^(E29-LCC總表!$E$9+1),0)</f>
        <v>0</v>
      </c>
      <c r="F38" s="197">
        <f>IF($E$29&lt;LCC總表!$E$9+LCC總表!$E$6,IF(LCC總表!$U$28="電力",能源價格!AQ$36+能源價格!AQ$48,IF(LCC總表!$U$28="柴油",能源價格!AQ$12,0))
/(1+LCC總表!$U$7*0.01)^(F29-LCC總表!$U$9+1)+(LCC總表!$U$40+LCC總表!$U$46-LCC總表!$U$48)/(1+LCC總表!$E$7*0.01)^(F29-LCC總表!$E$9+1),0)</f>
        <v>0</v>
      </c>
      <c r="G38" s="197">
        <f>IF($E$29&lt;LCC總表!$E$9+LCC總表!$E$6,IF(LCC總表!$U$28="電力",能源價格!AR$36+能源價格!AR$48,IF(LCC總表!$U$28="柴油",能源價格!AR$12,0))
/(1+LCC總表!$U$7*0.01)^(G29-LCC總表!$U$9+1)+(LCC總表!$U$40+LCC總表!$U$46-LCC總表!$U$48)/(1+LCC總表!$E$7*0.01)^(G29-LCC總表!$E$9+1),0)</f>
        <v>0</v>
      </c>
      <c r="H38" s="197">
        <f>IF($E$29&lt;LCC總表!$E$9+LCC總表!$E$6,IF(LCC總表!$U$28="電力",能源價格!AS$36+能源價格!AS$48,IF(LCC總表!$U$28="柴油",能源價格!AS$12,0))
/(1+LCC總表!$U$7*0.01)^(H29-LCC總表!$U$9+1)+(LCC總表!$U$40+LCC總表!$U$46-LCC總表!$U$48)/(1+LCC總表!$E$7*0.01)^(H29-LCC總表!$E$9+1),0)</f>
        <v>0</v>
      </c>
      <c r="I38" s="197">
        <f>IF($E$29&lt;LCC總表!$E$9+LCC總表!$E$6,IF(LCC總表!$U$28="電力",能源價格!AT$36+能源價格!AT$48,IF(LCC總表!$U$28="柴油",能源價格!AT$12,0))
/(1+LCC總表!$U$7*0.01)^(I29-LCC總表!$U$9+1)+(LCC總表!$U$40+LCC總表!$U$46-LCC總表!$U$48)/(1+LCC總表!$E$7*0.01)^(I29-LCC總表!$E$9+1),0)</f>
        <v>0</v>
      </c>
      <c r="J38" s="197">
        <f>IF($E$29&lt;LCC總表!$E$9+LCC總表!$E$6,IF(LCC總表!$U$28="電力",能源價格!AU$36+能源價格!AU$48,IF(LCC總表!$U$28="柴油",能源價格!AU$12,0))
/(1+LCC總表!$U$7*0.01)^(J29-LCC總表!$U$9+1)+(LCC總表!$U$40+LCC總表!$U$46-LCC總表!$U$48)/(1+LCC總表!$E$7*0.01)^(J29-LCC總表!$E$9+1),0)</f>
        <v>0</v>
      </c>
      <c r="K38" s="197">
        <f>IF($E$29&lt;LCC總表!$E$9+LCC總表!$E$6,IF(LCC總表!$U$28="電力",能源價格!AV$36+能源價格!AV$48,IF(LCC總表!$U$28="柴油",能源價格!AV$12,0))
/(1+LCC總表!$U$7*0.01)^(K29-LCC總表!$U$9+1)+(LCC總表!$U$40+LCC總表!$U$46-LCC總表!$U$48)/(1+LCC總表!$E$7*0.01)^(K29-LCC總表!$E$9+1),0)</f>
        <v>0</v>
      </c>
      <c r="L38" s="197">
        <f>IF($E$29&lt;LCC總表!$E$9+LCC總表!$E$6,IF(LCC總表!$U$28="電力",能源價格!AW$36+能源價格!AW$48,IF(LCC總表!$U$28="柴油",能源價格!AW$12,0))
/(1+LCC總表!$U$7*0.01)^(L29-LCC總表!$U$9+1)+(LCC總表!$U$40+LCC總表!$U$46-LCC總表!$U$48)/(1+LCC總表!$E$7*0.01)^(L29-LCC總表!$E$9+1),0)</f>
        <v>0</v>
      </c>
      <c r="M38" s="197">
        <f>IF($E$29&lt;LCC總表!$E$9+LCC總表!$E$6,IF(LCC總表!$U$28="電力",能源價格!AX$36+能源價格!AX$48,IF(LCC總表!$U$28="柴油",能源價格!AX$12,0))
/(1+LCC總表!$U$7*0.01)^(M29-LCC總表!$U$9+1)+(LCC總表!$U$40+LCC總表!$U$46-LCC總表!$U$48)/(1+LCC總表!$E$7*0.01)^(M29-LCC總表!$E$9+1),0)</f>
        <v>0</v>
      </c>
      <c r="N38" s="197">
        <f>IF($E$29&lt;LCC總表!$E$9+LCC總表!$E$6,IF(LCC總表!$U$28="電力",能源價格!AY$36+能源價格!AY$48,IF(LCC總表!$U$28="柴油",能源價格!AY$12,0))
/(1+LCC總表!$U$7*0.01)^(N29-LCC總表!$U$9+1)+(LCC總表!$U$40+LCC總表!$U$46-LCC總表!$U$48)/(1+LCC總表!$E$7*0.01)^(N29-LCC總表!$E$9+1),0)</f>
        <v>0</v>
      </c>
      <c r="O38" s="197">
        <f>IF($E$29&lt;LCC總表!$E$9+LCC總表!$E$6,IF(LCC總表!$U$28="電力",能源價格!AZ$36+能源價格!AZ$48,IF(LCC總表!$U$28="柴油",能源價格!AZ$12,0))
/(1+LCC總表!$U$7*0.01)^(O29-LCC總表!$U$9+1)+(LCC總表!$U$40+LCC總表!$U$46-LCC總表!$U$48)/(1+LCC總表!$E$7*0.01)^(O29-LCC總表!$E$9+1),0)</f>
        <v>0</v>
      </c>
      <c r="P38" s="197">
        <f>IF($E$29&lt;LCC總表!$E$9+LCC總表!$E$6,IF(LCC總表!$U$28="電力",能源價格!BA$36+能源價格!BA$48,IF(LCC總表!$U$28="柴油",能源價格!BA$12,0))
/(1+LCC總表!$U$7*0.01)^(P29-LCC總表!$U$9+1)+(LCC總表!$U$40+LCC總表!$U$46-LCC總表!$U$48)/(1+LCC總表!$E$7*0.01)^(P29-LCC總表!$E$9+1),0)</f>
        <v>0</v>
      </c>
      <c r="Q38" s="197">
        <f>IF($E$29&lt;LCC總表!$E$9+LCC總表!$E$6,IF(LCC總表!$U$28="電力",能源價格!BB$36+能源價格!BB$48,IF(LCC總表!$U$28="柴油",能源價格!BB$12,0))
/(1+LCC總表!$U$7*0.01)^(Q29-LCC總表!$U$9+1)+(LCC總表!$U$40+LCC總表!$U$46-LCC總表!$U$48)/(1+LCC總表!$E$7*0.01)^(Q29-LCC總表!$E$9+1),0)</f>
        <v>0</v>
      </c>
      <c r="R38" s="197">
        <f>IF($E$29&lt;LCC總表!$E$9+LCC總表!$E$6,IF(LCC總表!$U$28="電力",能源價格!BC$36+能源價格!BC$48,IF(LCC總表!$U$28="柴油",能源價格!BC$12,0))
/(1+LCC總表!$U$7*0.01)^(R29-LCC總表!$U$9+1)+(LCC總表!$U$40+LCC總表!$U$46-LCC總表!$U$48)/(1+LCC總表!$E$7*0.01)^(R29-LCC總表!$E$9+1),0)</f>
        <v>0</v>
      </c>
      <c r="S38" s="197">
        <f>IF($E$29&lt;LCC總表!$E$9+LCC總表!$E$6,IF(LCC總表!$U$28="電力",能源價格!BD$36+能源價格!BD$48,IF(LCC總表!$U$28="柴油",能源價格!BD$12,0))
/(1+LCC總表!$U$7*0.01)^(S29-LCC總表!$U$9+1)+(LCC總表!$U$40+LCC總表!$U$46-LCC總表!$U$48)/(1+LCC總表!$E$7*0.01)^(S29-LCC總表!$E$9+1),0)</f>
        <v>0</v>
      </c>
      <c r="T38" s="197">
        <f>IF($E$29&lt;LCC總表!$E$9+LCC總表!$E$6,IF(LCC總表!$U$28="電力",能源價格!BE$36+能源價格!BE$48,IF(LCC總表!$U$28="柴油",能源價格!BE$12,0))
/(1+LCC總表!$U$7*0.01)^(T29-LCC總表!$U$9+1)+(LCC總表!$U$40+LCC總表!$U$46-LCC總表!$U$48)/(1+LCC總表!$E$7*0.01)^(T29-LCC總表!$E$9+1),0)</f>
        <v>0</v>
      </c>
      <c r="U38" s="197">
        <f>IF($E$29&lt;LCC總表!$E$9+LCC總表!$E$6,IF(LCC總表!$U$28="電力",能源價格!BF$36+能源價格!BF$48,IF(LCC總表!$U$28="柴油",能源價格!BF$12,0))
/(1+LCC總表!$U$7*0.01)^(U29-LCC總表!$U$9+1)+(LCC總表!$U$40+LCC總表!$U$46-LCC總表!$U$48)/(1+LCC總表!$E$7*0.01)^(U29-LCC總表!$E$9+1),0)</f>
        <v>0</v>
      </c>
      <c r="V38" s="197">
        <f>IF($E$29&lt;LCC總表!$E$9+LCC總表!$E$6,IF(LCC總表!$U$28="電力",能源價格!BG$36+能源價格!BG$48,IF(LCC總表!$U$28="柴油",能源價格!BG$12,0))
/(1+LCC總表!$U$7*0.01)^(V29-LCC總表!$U$9+1)+(LCC總表!$U$40+LCC總表!$U$46-LCC總表!$U$48)/(1+LCC總表!$E$7*0.01)^(V29-LCC總表!$E$9+1),0)</f>
        <v>0</v>
      </c>
      <c r="W38" s="197">
        <f>IF($E$29&lt;LCC總表!$E$9+LCC總表!$E$6,IF(LCC總表!$U$28="電力",能源價格!BH$36+能源價格!BH$48,IF(LCC總表!$U$28="柴油",能源價格!BH$12,0))
/(1+LCC總表!$U$7*0.01)^(W29-LCC總表!$U$9+1)+(LCC總表!$U$40+LCC總表!$U$46-LCC總表!$U$48)/(1+LCC總表!$E$7*0.01)^(W29-LCC總表!$E$9+1),0)</f>
        <v>0</v>
      </c>
      <c r="X38" s="197">
        <f>IF($E$29&lt;LCC總表!$E$9+LCC總表!$E$6,IF(LCC總表!$U$28="電力",能源價格!BI$36+能源價格!BI$48,IF(LCC總表!$U$28="柴油",能源價格!BI$12,0))
/(1+LCC總表!$U$7*0.01)^(X29-LCC總表!$U$9+1)+(LCC總表!$U$40+LCC總表!$U$46-LCC總表!$U$48)/(1+LCC總表!$E$7*0.01)^(X29-LCC總表!$E$9+1),0)</f>
        <v>0</v>
      </c>
      <c r="Y38" s="197">
        <f>IF($E$29&lt;LCC總表!$E$9+LCC總表!$E$6,IF(LCC總表!$U$28="電力",能源價格!BJ$36+能源價格!BJ$48,IF(LCC總表!$U$28="柴油",能源價格!BJ$12,0))
/(1+LCC總表!$U$7*0.01)^(Y29-LCC總表!$U$9+1)+(LCC總表!$U$40+LCC總表!$U$46-LCC總表!$U$48)/(1+LCC總表!$E$7*0.01)^(Y29-LCC總表!$E$9+1),0)</f>
        <v>0</v>
      </c>
      <c r="Z38" s="182"/>
    </row>
    <row r="39" spans="1:26" ht="16.5">
      <c r="A39" s="194"/>
      <c r="B39" s="181"/>
      <c r="C39" s="196" t="s">
        <v>226</v>
      </c>
      <c r="D39" s="197">
        <f>IF(LCC總表!$W$14&lt;&gt;0,LCC總表!$W$15+LCC總表!$W$19+LCC總表!$W$20/LCC總表!$W$14+LCC總表!$W$21/LCC總表!$W$14+IF(LCC總表!$W$28="電力",能源價格!AO$28,IF(LCC總表!$W$28="柴油",能源價格!AO$4,0))/(1+LCC總表!$E$7*0.01)^('計算過程(勿更動)'!D$29-LCC總表!$E$9+1)+(LCC總表!$W$40+LCC總表!$W$46-LCC總表!$W$48)/(1+LCC總表!$E$7*0.01)^('計算過程(勿更動)'!D$29-LCC總表!$E$9+1)-LCC總表!$W$47-LCC總表!$W$65,0)</f>
        <v>0</v>
      </c>
      <c r="E39" s="197">
        <f>IF(E$29&lt;LCC總表!$E$9+LCC總表!$E$6,IF(LCC總表!$W$28="電力",能源價格!AP$37+能源價格!AP$49,IF(LCC總表!$W$28="柴油",能源價格!AP$13,0))
/(1+LCC總表!$W$7*0.01)^(E29-LCC總表!$W$9+1)+(LCC總表!$W$40+LCC總表!$W$46-LCC總表!$W$48)/(1+LCC總表!$E$7*0.01)^(E29-LCC總表!$E$9+1),0)</f>
        <v>0</v>
      </c>
      <c r="F39" s="197">
        <f>IF($E$29&lt;LCC總表!$E$9+LCC總表!$E$6,IF(LCC總表!$W$28="電力",能源價格!AQ$37+能源價格!AQ$49,IF(LCC總表!$W$28="柴油",能源價格!AQ$13,0))
/(1+LCC總表!$W$7*0.01)^(F29-LCC總表!$W$9+1)+(LCC總表!$W$40+LCC總表!$W$46-LCC總表!$W$48)/(1+LCC總表!$E$7*0.01)^(F29-LCC總表!$E$9+1),0)</f>
        <v>0</v>
      </c>
      <c r="G39" s="197">
        <f>IF($E$29&lt;LCC總表!$E$9+LCC總表!$E$6,IF(LCC總表!$W$28="電力",能源價格!AR$37+能源價格!AR$49,IF(LCC總表!$W$28="柴油",能源價格!AR$13,0))
/(1+LCC總表!$W$7*0.01)^(G29-LCC總表!$W$9+1)+(LCC總表!$W$40+LCC總表!$W$46-LCC總表!$W$48)/(1+LCC總表!$E$7*0.01)^(G29-LCC總表!$E$9+1),0)</f>
        <v>0</v>
      </c>
      <c r="H39" s="197">
        <f>IF($E$29&lt;LCC總表!$E$9+LCC總表!$E$6,IF(LCC總表!$W$28="電力",能源價格!AS$37+能源價格!AS$49,IF(LCC總表!$W$28="柴油",能源價格!AS$13,0))
/(1+LCC總表!$W$7*0.01)^(H29-LCC總表!$W$9+1)+(LCC總表!$W$40+LCC總表!$W$46-LCC總表!$W$48)/(1+LCC總表!$E$7*0.01)^(H29-LCC總表!$E$9+1),0)</f>
        <v>0</v>
      </c>
      <c r="I39" s="197">
        <f>IF($E$29&lt;LCC總表!$E$9+LCC總表!$E$6,IF(LCC總表!$W$28="電力",能源價格!AT$37+能源價格!AT$49,IF(LCC總表!$W$28="柴油",能源價格!AT$13,0))
/(1+LCC總表!$W$7*0.01)^(I29-LCC總表!$W$9+1)+(LCC總表!$W$40+LCC總表!$W$46-LCC總表!$W$48)/(1+LCC總表!$E$7*0.01)^(I29-LCC總表!$E$9+1),0)</f>
        <v>0</v>
      </c>
      <c r="J39" s="197">
        <f>IF($E$29&lt;LCC總表!$E$9+LCC總表!$E$6,IF(LCC總表!$W$28="電力",能源價格!AU$37+能源價格!AU$49,IF(LCC總表!$W$28="柴油",能源價格!AU$13,0))
/(1+LCC總表!$W$7*0.01)^(J29-LCC總表!$W$9+1)+(LCC總表!$W$40+LCC總表!$W$46-LCC總表!$W$48)/(1+LCC總表!$E$7*0.01)^(J29-LCC總表!$E$9+1),0)</f>
        <v>0</v>
      </c>
      <c r="K39" s="197">
        <f>IF($E$29&lt;LCC總表!$E$9+LCC總表!$E$6,IF(LCC總表!$W$28="電力",能源價格!AV$37+能源價格!AV$49,IF(LCC總表!$W$28="柴油",能源價格!AV$13,0))
/(1+LCC總表!$W$7*0.01)^(K29-LCC總表!$W$9+1)+(LCC總表!$W$40+LCC總表!$W$46-LCC總表!$W$48)/(1+LCC總表!$E$7*0.01)^(K29-LCC總表!$E$9+1),0)</f>
        <v>0</v>
      </c>
      <c r="L39" s="197">
        <f>IF($E$29&lt;LCC總表!$E$9+LCC總表!$E$6,IF(LCC總表!$W$28="電力",能源價格!AW$37+能源價格!AW$49,IF(LCC總表!$W$28="柴油",能源價格!AW$13,0))
/(1+LCC總表!$W$7*0.01)^(L29-LCC總表!$W$9+1)+(LCC總表!$W$40+LCC總表!$W$46-LCC總表!$W$48)/(1+LCC總表!$E$7*0.01)^(L29-LCC總表!$E$9+1),0)</f>
        <v>0</v>
      </c>
      <c r="M39" s="197">
        <f>IF($E$29&lt;LCC總表!$E$9+LCC總表!$E$6,IF(LCC總表!$W$28="電力",能源價格!AX$37+能源價格!AX$49,IF(LCC總表!$W$28="柴油",能源價格!AX$13,0))
/(1+LCC總表!$W$7*0.01)^(M29-LCC總表!$W$9+1)+(LCC總表!$W$40+LCC總表!$W$46-LCC總表!$W$48)/(1+LCC總表!$E$7*0.01)^(M29-LCC總表!$E$9+1),0)</f>
        <v>0</v>
      </c>
      <c r="N39" s="197">
        <f>IF($E$29&lt;LCC總表!$E$9+LCC總表!$E$6,IF(LCC總表!$W$28="電力",能源價格!AY$37+能源價格!AY$49,IF(LCC總表!$W$28="柴油",能源價格!AY$13,0))
/(1+LCC總表!$W$7*0.01)^(N29-LCC總表!$W$9+1)+(LCC總表!$W$40+LCC總表!$W$46-LCC總表!$W$48)/(1+LCC總表!$E$7*0.01)^(N29-LCC總表!$E$9+1),0)</f>
        <v>0</v>
      </c>
      <c r="O39" s="197">
        <f>IF($E$29&lt;LCC總表!$E$9+LCC總表!$E$6,IF(LCC總表!$W$28="電力",能源價格!AZ$37+能源價格!AZ$49,IF(LCC總表!$W$28="柴油",能源價格!AZ$13,0))
/(1+LCC總表!$W$7*0.01)^(O29-LCC總表!$W$9+1)+(LCC總表!$W$40+LCC總表!$W$46-LCC總表!$W$48)/(1+LCC總表!$E$7*0.01)^(O29-LCC總表!$E$9+1),0)</f>
        <v>0</v>
      </c>
      <c r="P39" s="197">
        <f>IF($E$29&lt;LCC總表!$E$9+LCC總表!$E$6,IF(LCC總表!$W$28="電力",能源價格!BA$37+能源價格!BA$49,IF(LCC總表!$W$28="柴油",能源價格!BA$13,0))
/(1+LCC總表!$W$7*0.01)^(P29-LCC總表!$W$9+1)+(LCC總表!$W$40+LCC總表!$W$46-LCC總表!$W$48)/(1+LCC總表!$E$7*0.01)^(P29-LCC總表!$E$9+1),0)</f>
        <v>0</v>
      </c>
      <c r="Q39" s="197">
        <f>IF($E$29&lt;LCC總表!$E$9+LCC總表!$E$6,IF(LCC總表!$W$28="電力",能源價格!BB$37+能源價格!BB$49,IF(LCC總表!$W$28="柴油",能源價格!BB$13,0))
/(1+LCC總表!$W$7*0.01)^(Q29-LCC總表!$W$9+1)+(LCC總表!$W$40+LCC總表!$W$46-LCC總表!$W$48)/(1+LCC總表!$E$7*0.01)^(Q29-LCC總表!$E$9+1),0)</f>
        <v>0</v>
      </c>
      <c r="R39" s="197">
        <f>IF($E$29&lt;LCC總表!$E$9+LCC總表!$E$6,IF(LCC總表!$W$28="電力",能源價格!BC$37+能源價格!BC$49,IF(LCC總表!$W$28="柴油",能源價格!BC$13,0))
/(1+LCC總表!$W$7*0.01)^(R29-LCC總表!$W$9+1)+(LCC總表!$W$40+LCC總表!$W$46-LCC總表!$W$48)/(1+LCC總表!$E$7*0.01)^(R29-LCC總表!$E$9+1),0)</f>
        <v>0</v>
      </c>
      <c r="S39" s="197">
        <f>IF($E$29&lt;LCC總表!$E$9+LCC總表!$E$6,IF(LCC總表!$W$28="電力",能源價格!BD$37+能源價格!BD$49,IF(LCC總表!$W$28="柴油",能源價格!BD$13,0))
/(1+LCC總表!$W$7*0.01)^(S29-LCC總表!$W$9+1)+(LCC總表!$W$40+LCC總表!$W$46-LCC總表!$W$48)/(1+LCC總表!$E$7*0.01)^(S29-LCC總表!$E$9+1),0)</f>
        <v>0</v>
      </c>
      <c r="T39" s="197">
        <f>IF($E$29&lt;LCC總表!$E$9+LCC總表!$E$6,IF(LCC總表!$W$28="電力",能源價格!BE$37+能源價格!BE$49,IF(LCC總表!$W$28="柴油",能源價格!BE$13,0))
/(1+LCC總表!$W$7*0.01)^(T29-LCC總表!$W$9+1)+(LCC總表!$W$40+LCC總表!$W$46-LCC總表!$W$48)/(1+LCC總表!$E$7*0.01)^(T29-LCC總表!$E$9+1),0)</f>
        <v>0</v>
      </c>
      <c r="U39" s="197">
        <f>IF($E$29&lt;LCC總表!$E$9+LCC總表!$E$6,IF(LCC總表!$W$28="電力",能源價格!BF$37+能源價格!BF$49,IF(LCC總表!$W$28="柴油",能源價格!BF$13,0))
/(1+LCC總表!$W$7*0.01)^(U29-LCC總表!$W$9+1)+(LCC總表!$W$40+LCC總表!$W$46-LCC總表!$W$48)/(1+LCC總表!$E$7*0.01)^(U29-LCC總表!$E$9+1),0)</f>
        <v>0</v>
      </c>
      <c r="V39" s="197">
        <f>IF($E$29&lt;LCC總表!$E$9+LCC總表!$E$6,IF(LCC總表!$W$28="電力",能源價格!BG$37+能源價格!BG$49,IF(LCC總表!$W$28="柴油",能源價格!BG$13,0))
/(1+LCC總表!$W$7*0.01)^(V29-LCC總表!$W$9+1)+(LCC總表!$W$40+LCC總表!$W$46-LCC總表!$W$48)/(1+LCC總表!$E$7*0.01)^(V29-LCC總表!$E$9+1),0)</f>
        <v>0</v>
      </c>
      <c r="W39" s="197">
        <f>IF($E$29&lt;LCC總表!$E$9+LCC總表!$E$6,IF(LCC總表!$W$28="電力",能源價格!BH$37+能源價格!BH$49,IF(LCC總表!$W$28="柴油",能源價格!BH$13,0))
/(1+LCC總表!$W$7*0.01)^(W29-LCC總表!$W$9+1)+(LCC總表!$W$40+LCC總表!$W$46-LCC總表!$W$48)/(1+LCC總表!$E$7*0.01)^(W29-LCC總表!$E$9+1),0)</f>
        <v>0</v>
      </c>
      <c r="X39" s="197">
        <f>IF($E$29&lt;LCC總表!$E$9+LCC總表!$E$6,IF(LCC總表!$W$28="電力",能源價格!BI$37+能源價格!BI$49,IF(LCC總表!$W$28="柴油",能源價格!BI$13,0))
/(1+LCC總表!$W$7*0.01)^(X29-LCC總表!$W$9+1)+(LCC總表!$W$40+LCC總表!$W$46-LCC總表!$W$48)/(1+LCC總表!$E$7*0.01)^(X29-LCC總表!$E$9+1),0)</f>
        <v>0</v>
      </c>
      <c r="Y39" s="197">
        <f>IF($E$29&lt;LCC總表!$E$9+LCC總表!$E$6,IF(LCC總表!$W$28="電力",能源價格!BJ$37+能源價格!BJ$49,IF(LCC總表!$W$28="柴油",能源價格!BJ$13,0))
/(1+LCC總表!$W$7*0.01)^(Y29-LCC總表!$W$9+1)+(LCC總表!$W$40+LCC總表!$W$46-LCC總表!$W$48)/(1+LCC總表!$E$7*0.01)^(Y29-LCC總表!$E$9+1),0)</f>
        <v>0</v>
      </c>
      <c r="Z39" s="182"/>
    </row>
    <row r="40" spans="1:26">
      <c r="A40" s="194"/>
      <c r="B40" s="181"/>
      <c r="C40" s="195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81"/>
      <c r="W40" s="181"/>
      <c r="X40" s="181"/>
      <c r="Y40" s="181"/>
      <c r="Z40" s="182"/>
    </row>
    <row r="41" spans="1:26" ht="16.5">
      <c r="A41" s="194"/>
      <c r="B41" s="181"/>
      <c r="C41" s="196" t="s">
        <v>227</v>
      </c>
      <c r="D41" s="196">
        <f>LCC總表!$E$9</f>
        <v>2019</v>
      </c>
      <c r="E41" s="196">
        <f t="shared" ref="E41:T41" si="5">D41+1</f>
        <v>2020</v>
      </c>
      <c r="F41" s="196">
        <f t="shared" si="5"/>
        <v>2021</v>
      </c>
      <c r="G41" s="196">
        <f t="shared" si="5"/>
        <v>2022</v>
      </c>
      <c r="H41" s="196">
        <f t="shared" si="5"/>
        <v>2023</v>
      </c>
      <c r="I41" s="196">
        <f t="shared" si="5"/>
        <v>2024</v>
      </c>
      <c r="J41" s="196">
        <f t="shared" si="5"/>
        <v>2025</v>
      </c>
      <c r="K41" s="196">
        <f t="shared" si="5"/>
        <v>2026</v>
      </c>
      <c r="L41" s="196">
        <f t="shared" si="5"/>
        <v>2027</v>
      </c>
      <c r="M41" s="196">
        <f t="shared" si="5"/>
        <v>2028</v>
      </c>
      <c r="N41" s="196">
        <f t="shared" si="5"/>
        <v>2029</v>
      </c>
      <c r="O41" s="196">
        <f t="shared" si="5"/>
        <v>2030</v>
      </c>
      <c r="P41" s="196">
        <f t="shared" si="5"/>
        <v>2031</v>
      </c>
      <c r="Q41" s="196">
        <f t="shared" si="5"/>
        <v>2032</v>
      </c>
      <c r="R41" s="196">
        <f t="shared" si="5"/>
        <v>2033</v>
      </c>
      <c r="S41" s="196">
        <f t="shared" si="5"/>
        <v>2034</v>
      </c>
      <c r="T41" s="196">
        <f t="shared" si="5"/>
        <v>2035</v>
      </c>
      <c r="U41" s="196">
        <f t="shared" ref="U41:Y41" si="6">T41+1</f>
        <v>2036</v>
      </c>
      <c r="V41" s="196">
        <f t="shared" si="6"/>
        <v>2037</v>
      </c>
      <c r="W41" s="196">
        <f t="shared" si="6"/>
        <v>2038</v>
      </c>
      <c r="X41" s="196">
        <f t="shared" si="6"/>
        <v>2039</v>
      </c>
      <c r="Y41" s="196">
        <f t="shared" si="6"/>
        <v>2040</v>
      </c>
      <c r="Z41" s="182"/>
    </row>
    <row r="42" spans="1:26" ht="16.5">
      <c r="A42" s="194"/>
      <c r="B42" s="181"/>
      <c r="C42" s="196" t="s">
        <v>217</v>
      </c>
      <c r="D42" s="197">
        <f>D30</f>
        <v>10364900.416228116</v>
      </c>
      <c r="E42" s="197">
        <f>D42+E30</f>
        <v>10287166.966777705</v>
      </c>
      <c r="F42" s="197">
        <f t="shared" ref="F42:Y43" si="7">E42+F30</f>
        <v>10209669.505006811</v>
      </c>
      <c r="G42" s="197">
        <f t="shared" si="7"/>
        <v>10136640.685969718</v>
      </c>
      <c r="H42" s="197">
        <f t="shared" si="7"/>
        <v>10068922.912681537</v>
      </c>
      <c r="I42" s="197">
        <f t="shared" si="7"/>
        <v>10003387.982109852</v>
      </c>
      <c r="J42" s="197">
        <f t="shared" si="7"/>
        <v>9941784.9301008973</v>
      </c>
      <c r="K42" s="197">
        <f t="shared" si="7"/>
        <v>9884125.1692717075</v>
      </c>
      <c r="L42" s="197">
        <f t="shared" si="7"/>
        <v>9884125.1692717075</v>
      </c>
      <c r="M42" s="197">
        <f t="shared" si="7"/>
        <v>9884125.1692717075</v>
      </c>
      <c r="N42" s="197">
        <f t="shared" si="7"/>
        <v>9884125.1692717075</v>
      </c>
      <c r="O42" s="197">
        <f t="shared" si="7"/>
        <v>9884125.1692717075</v>
      </c>
      <c r="P42" s="197">
        <f t="shared" si="7"/>
        <v>9884125.1692717075</v>
      </c>
      <c r="Q42" s="197">
        <f t="shared" si="7"/>
        <v>9884125.1692717075</v>
      </c>
      <c r="R42" s="197">
        <f t="shared" si="7"/>
        <v>9884125.1692717075</v>
      </c>
      <c r="S42" s="197">
        <f t="shared" si="7"/>
        <v>9884125.1692717075</v>
      </c>
      <c r="T42" s="197">
        <f t="shared" si="7"/>
        <v>9884125.1692717075</v>
      </c>
      <c r="U42" s="197">
        <f t="shared" si="7"/>
        <v>9884125.1692717075</v>
      </c>
      <c r="V42" s="197">
        <f t="shared" si="7"/>
        <v>9884125.1692717075</v>
      </c>
      <c r="W42" s="197">
        <f t="shared" si="7"/>
        <v>9884125.1692717075</v>
      </c>
      <c r="X42" s="197">
        <f t="shared" si="7"/>
        <v>9884125.1692717075</v>
      </c>
      <c r="Y42" s="197">
        <f t="shared" si="7"/>
        <v>9884125.1692717075</v>
      </c>
      <c r="Z42" s="182"/>
    </row>
    <row r="43" spans="1:26" ht="16.5">
      <c r="A43" s="194"/>
      <c r="B43" s="181"/>
      <c r="C43" s="196" t="s">
        <v>218</v>
      </c>
      <c r="D43" s="197">
        <f>D31</f>
        <v>6063231.9895614488</v>
      </c>
      <c r="E43" s="197">
        <f>D43+E31</f>
        <v>5967310.9053087477</v>
      </c>
      <c r="F43" s="197">
        <f t="shared" si="7"/>
        <v>5874206.0143479099</v>
      </c>
      <c r="G43" s="197">
        <f t="shared" si="7"/>
        <v>5787372.1676616101</v>
      </c>
      <c r="H43" s="197">
        <f t="shared" si="7"/>
        <v>5707590.6144253332</v>
      </c>
      <c r="I43" s="197">
        <f t="shared" si="7"/>
        <v>5632171.2884654896</v>
      </c>
      <c r="J43" s="197">
        <f t="shared" si="7"/>
        <v>5562675.6840952486</v>
      </c>
      <c r="K43" s="197">
        <f t="shared" si="7"/>
        <v>5499164.8513991889</v>
      </c>
      <c r="L43" s="197">
        <f t="shared" si="7"/>
        <v>5499164.8513991889</v>
      </c>
      <c r="M43" s="197">
        <f t="shared" si="7"/>
        <v>5499164.8513991889</v>
      </c>
      <c r="N43" s="197">
        <f t="shared" si="7"/>
        <v>5499164.8513991889</v>
      </c>
      <c r="O43" s="197">
        <f t="shared" si="7"/>
        <v>5499164.8513991889</v>
      </c>
      <c r="P43" s="197">
        <f t="shared" si="7"/>
        <v>5499164.8513991889</v>
      </c>
      <c r="Q43" s="197">
        <f t="shared" si="7"/>
        <v>5499164.8513991889</v>
      </c>
      <c r="R43" s="197">
        <f t="shared" si="7"/>
        <v>5499164.8513991889</v>
      </c>
      <c r="S43" s="197">
        <f t="shared" si="7"/>
        <v>5499164.8513991889</v>
      </c>
      <c r="T43" s="197">
        <f t="shared" si="7"/>
        <v>5499164.8513991889</v>
      </c>
      <c r="U43" s="197">
        <f t="shared" si="7"/>
        <v>5499164.8513991889</v>
      </c>
      <c r="V43" s="197">
        <f t="shared" si="7"/>
        <v>5499164.8513991889</v>
      </c>
      <c r="W43" s="197">
        <f t="shared" si="7"/>
        <v>5499164.8513991889</v>
      </c>
      <c r="X43" s="197">
        <f t="shared" si="7"/>
        <v>5499164.8513991889</v>
      </c>
      <c r="Y43" s="197">
        <f t="shared" si="7"/>
        <v>5499164.8513991889</v>
      </c>
      <c r="Z43" s="182"/>
    </row>
    <row r="44" spans="1:26" ht="16.5">
      <c r="A44" s="194"/>
      <c r="B44" s="181"/>
      <c r="C44" s="196" t="s">
        <v>219</v>
      </c>
      <c r="D44" s="197">
        <f t="shared" ref="D44:D51" si="8">D32</f>
        <v>4363232.2295614481</v>
      </c>
      <c r="E44" s="197">
        <f>D44+E32</f>
        <v>4332282.7157868976</v>
      </c>
      <c r="F44" s="197">
        <f t="shared" ref="F44:Y44" si="9">E44+F32</f>
        <v>4302973.2657619873</v>
      </c>
      <c r="G44" s="197">
        <f t="shared" si="9"/>
        <v>4281807.457822172</v>
      </c>
      <c r="H44" s="197">
        <f t="shared" si="9"/>
        <v>4270321.5764344856</v>
      </c>
      <c r="I44" s="197">
        <f t="shared" si="9"/>
        <v>4263603.2267731894</v>
      </c>
      <c r="J44" s="197">
        <f t="shared" si="9"/>
        <v>4264633.5740034161</v>
      </c>
      <c r="K44" s="197">
        <f t="shared" si="9"/>
        <v>4273605.3182734149</v>
      </c>
      <c r="L44" s="197">
        <f t="shared" si="9"/>
        <v>4273605.3182734149</v>
      </c>
      <c r="M44" s="197">
        <f t="shared" si="9"/>
        <v>4273605.3182734149</v>
      </c>
      <c r="N44" s="197">
        <f t="shared" si="9"/>
        <v>4273605.3182734149</v>
      </c>
      <c r="O44" s="197">
        <f t="shared" si="9"/>
        <v>4273605.3182734149</v>
      </c>
      <c r="P44" s="197">
        <f t="shared" si="9"/>
        <v>4273605.3182734149</v>
      </c>
      <c r="Q44" s="197">
        <f t="shared" si="9"/>
        <v>4273605.3182734149</v>
      </c>
      <c r="R44" s="197">
        <f t="shared" si="9"/>
        <v>4273605.3182734149</v>
      </c>
      <c r="S44" s="197">
        <f t="shared" si="9"/>
        <v>4273605.3182734149</v>
      </c>
      <c r="T44" s="197">
        <f t="shared" si="9"/>
        <v>4273605.3182734149</v>
      </c>
      <c r="U44" s="197">
        <f t="shared" si="9"/>
        <v>4273605.3182734149</v>
      </c>
      <c r="V44" s="197">
        <f t="shared" si="9"/>
        <v>4273605.3182734149</v>
      </c>
      <c r="W44" s="197">
        <f t="shared" si="9"/>
        <v>4273605.3182734149</v>
      </c>
      <c r="X44" s="197">
        <f t="shared" si="9"/>
        <v>4273605.3182734149</v>
      </c>
      <c r="Y44" s="197">
        <f t="shared" si="9"/>
        <v>4273605.3182734149</v>
      </c>
      <c r="Z44" s="182"/>
    </row>
    <row r="45" spans="1:26" ht="16.5">
      <c r="A45" s="194"/>
      <c r="B45" s="181"/>
      <c r="C45" s="196" t="s">
        <v>220</v>
      </c>
      <c r="D45" s="197">
        <f t="shared" si="8"/>
        <v>6071565.7828947837</v>
      </c>
      <c r="E45" s="197">
        <f>D45+E33</f>
        <v>5979824.1374123972</v>
      </c>
      <c r="F45" s="197">
        <f t="shared" ref="F45:Y45" si="10">E45+F33</f>
        <v>5890823.0281095169</v>
      </c>
      <c r="G45" s="197">
        <f t="shared" si="10"/>
        <v>5808213.4220424267</v>
      </c>
      <c r="H45" s="197">
        <f t="shared" si="10"/>
        <v>5732825.137687725</v>
      </c>
      <c r="I45" s="197">
        <f t="shared" si="10"/>
        <v>5661825.1527071353</v>
      </c>
      <c r="J45" s="197">
        <f t="shared" si="10"/>
        <v>5596866.2848550836</v>
      </c>
      <c r="K45" s="197">
        <f t="shared" si="10"/>
        <v>5538018.0528952358</v>
      </c>
      <c r="L45" s="197">
        <f t="shared" si="10"/>
        <v>5538018.0528952358</v>
      </c>
      <c r="M45" s="197">
        <f t="shared" si="10"/>
        <v>5538018.0528952358</v>
      </c>
      <c r="N45" s="197">
        <f t="shared" si="10"/>
        <v>5538018.0528952358</v>
      </c>
      <c r="O45" s="197">
        <f t="shared" si="10"/>
        <v>5538018.0528952358</v>
      </c>
      <c r="P45" s="197">
        <f t="shared" si="10"/>
        <v>5538018.0528952358</v>
      </c>
      <c r="Q45" s="197">
        <f t="shared" si="10"/>
        <v>5538018.0528952358</v>
      </c>
      <c r="R45" s="197">
        <f t="shared" si="10"/>
        <v>5538018.0528952358</v>
      </c>
      <c r="S45" s="197">
        <f t="shared" si="10"/>
        <v>5538018.0528952358</v>
      </c>
      <c r="T45" s="197">
        <f t="shared" si="10"/>
        <v>5538018.0528952358</v>
      </c>
      <c r="U45" s="197">
        <f t="shared" si="10"/>
        <v>5538018.0528952358</v>
      </c>
      <c r="V45" s="197">
        <f t="shared" si="10"/>
        <v>5538018.0528952358</v>
      </c>
      <c r="W45" s="197">
        <f t="shared" si="10"/>
        <v>5538018.0528952358</v>
      </c>
      <c r="X45" s="197">
        <f t="shared" si="10"/>
        <v>5538018.0528952358</v>
      </c>
      <c r="Y45" s="197">
        <f t="shared" si="10"/>
        <v>5538018.0528952358</v>
      </c>
      <c r="Z45" s="182"/>
    </row>
    <row r="46" spans="1:26" ht="16.5">
      <c r="A46" s="194"/>
      <c r="B46" s="181"/>
      <c r="C46" s="196" t="s">
        <v>221</v>
      </c>
      <c r="D46" s="197">
        <f t="shared" si="8"/>
        <v>5442037.6436097557</v>
      </c>
      <c r="E46" s="197">
        <f>D46+E34</f>
        <v>5918544.6245048074</v>
      </c>
      <c r="F46" s="197">
        <f t="shared" ref="F46:Y47" si="11">E46+F34</f>
        <v>6399793.575350292</v>
      </c>
      <c r="G46" s="197">
        <f t="shared" si="11"/>
        <v>6881698.8720568782</v>
      </c>
      <c r="H46" s="197">
        <f t="shared" si="11"/>
        <v>7371894.8052313225</v>
      </c>
      <c r="I46" s="197">
        <f t="shared" si="11"/>
        <v>7873330.2862640396</v>
      </c>
      <c r="J46" s="197">
        <f t="shared" si="11"/>
        <v>8379565.4678002484</v>
      </c>
      <c r="K46" s="197">
        <f t="shared" si="11"/>
        <v>8887774.1709081661</v>
      </c>
      <c r="L46" s="197">
        <f t="shared" si="11"/>
        <v>8887774.1709081661</v>
      </c>
      <c r="M46" s="197">
        <f t="shared" si="11"/>
        <v>8887774.1709081661</v>
      </c>
      <c r="N46" s="197">
        <f t="shared" si="11"/>
        <v>8887774.1709081661</v>
      </c>
      <c r="O46" s="197">
        <f t="shared" si="11"/>
        <v>8887774.1709081661</v>
      </c>
      <c r="P46" s="197">
        <f t="shared" si="11"/>
        <v>8887774.1709081661</v>
      </c>
      <c r="Q46" s="197">
        <f t="shared" si="11"/>
        <v>8887774.1709081661</v>
      </c>
      <c r="R46" s="197">
        <f t="shared" si="11"/>
        <v>8887774.1709081661</v>
      </c>
      <c r="S46" s="197">
        <f t="shared" si="11"/>
        <v>8887774.1709081661</v>
      </c>
      <c r="T46" s="197">
        <f t="shared" si="11"/>
        <v>8887774.1709081661</v>
      </c>
      <c r="U46" s="197">
        <f t="shared" si="11"/>
        <v>8887774.1709081661</v>
      </c>
      <c r="V46" s="197">
        <f t="shared" si="11"/>
        <v>8887774.1709081661</v>
      </c>
      <c r="W46" s="197">
        <f t="shared" si="11"/>
        <v>8887774.1709081661</v>
      </c>
      <c r="X46" s="197">
        <f t="shared" si="11"/>
        <v>8887774.1709081661</v>
      </c>
      <c r="Y46" s="197">
        <f t="shared" si="11"/>
        <v>8887774.1709081661</v>
      </c>
      <c r="Z46" s="182"/>
    </row>
    <row r="47" spans="1:26" ht="16.5">
      <c r="A47" s="194"/>
      <c r="B47" s="181"/>
      <c r="C47" s="196" t="s">
        <v>222</v>
      </c>
      <c r="D47" s="197">
        <f t="shared" si="8"/>
        <v>0</v>
      </c>
      <c r="E47" s="197">
        <f t="shared" ref="E47:T51" si="12">D47+E35</f>
        <v>0</v>
      </c>
      <c r="F47" s="197">
        <f t="shared" si="12"/>
        <v>0</v>
      </c>
      <c r="G47" s="197">
        <f t="shared" si="12"/>
        <v>0</v>
      </c>
      <c r="H47" s="197">
        <f t="shared" si="12"/>
        <v>0</v>
      </c>
      <c r="I47" s="197">
        <f t="shared" si="12"/>
        <v>0</v>
      </c>
      <c r="J47" s="197">
        <f t="shared" si="12"/>
        <v>0</v>
      </c>
      <c r="K47" s="197">
        <f t="shared" si="12"/>
        <v>0</v>
      </c>
      <c r="L47" s="197">
        <f t="shared" si="12"/>
        <v>0</v>
      </c>
      <c r="M47" s="197">
        <f t="shared" si="12"/>
        <v>0</v>
      </c>
      <c r="N47" s="197">
        <f t="shared" si="12"/>
        <v>0</v>
      </c>
      <c r="O47" s="197">
        <f t="shared" si="12"/>
        <v>0</v>
      </c>
      <c r="P47" s="197">
        <f t="shared" si="12"/>
        <v>0</v>
      </c>
      <c r="Q47" s="197">
        <f t="shared" si="12"/>
        <v>0</v>
      </c>
      <c r="R47" s="197">
        <f t="shared" si="12"/>
        <v>0</v>
      </c>
      <c r="S47" s="197">
        <f t="shared" si="12"/>
        <v>0</v>
      </c>
      <c r="T47" s="197">
        <f t="shared" si="12"/>
        <v>0</v>
      </c>
      <c r="U47" s="197">
        <f t="shared" si="11"/>
        <v>0</v>
      </c>
      <c r="V47" s="197">
        <f t="shared" si="11"/>
        <v>0</v>
      </c>
      <c r="W47" s="197">
        <f t="shared" si="11"/>
        <v>0</v>
      </c>
      <c r="X47" s="197">
        <f t="shared" si="11"/>
        <v>0</v>
      </c>
      <c r="Y47" s="197">
        <f t="shared" si="11"/>
        <v>0</v>
      </c>
      <c r="Z47" s="182"/>
    </row>
    <row r="48" spans="1:26" ht="16.5">
      <c r="A48" s="194"/>
      <c r="B48" s="181"/>
      <c r="C48" s="196" t="s">
        <v>223</v>
      </c>
      <c r="D48" s="197">
        <f t="shared" si="8"/>
        <v>0</v>
      </c>
      <c r="E48" s="197">
        <f t="shared" si="12"/>
        <v>0</v>
      </c>
      <c r="F48" s="197">
        <f t="shared" ref="F48:Y48" si="13">E48+F36</f>
        <v>0</v>
      </c>
      <c r="G48" s="197">
        <f t="shared" si="13"/>
        <v>0</v>
      </c>
      <c r="H48" s="197">
        <f t="shared" si="13"/>
        <v>0</v>
      </c>
      <c r="I48" s="197">
        <f t="shared" si="13"/>
        <v>0</v>
      </c>
      <c r="J48" s="197">
        <f t="shared" si="13"/>
        <v>0</v>
      </c>
      <c r="K48" s="197">
        <f t="shared" si="13"/>
        <v>0</v>
      </c>
      <c r="L48" s="197">
        <f t="shared" si="13"/>
        <v>0</v>
      </c>
      <c r="M48" s="197">
        <f t="shared" si="13"/>
        <v>0</v>
      </c>
      <c r="N48" s="197">
        <f t="shared" si="13"/>
        <v>0</v>
      </c>
      <c r="O48" s="197">
        <f t="shared" si="13"/>
        <v>0</v>
      </c>
      <c r="P48" s="197">
        <f t="shared" si="13"/>
        <v>0</v>
      </c>
      <c r="Q48" s="197">
        <f t="shared" si="13"/>
        <v>0</v>
      </c>
      <c r="R48" s="197">
        <f t="shared" si="13"/>
        <v>0</v>
      </c>
      <c r="S48" s="197">
        <f t="shared" si="13"/>
        <v>0</v>
      </c>
      <c r="T48" s="197">
        <f t="shared" si="13"/>
        <v>0</v>
      </c>
      <c r="U48" s="197">
        <f t="shared" si="13"/>
        <v>0</v>
      </c>
      <c r="V48" s="197">
        <f t="shared" si="13"/>
        <v>0</v>
      </c>
      <c r="W48" s="197">
        <f t="shared" si="13"/>
        <v>0</v>
      </c>
      <c r="X48" s="197">
        <f t="shared" si="13"/>
        <v>0</v>
      </c>
      <c r="Y48" s="197">
        <f t="shared" si="13"/>
        <v>0</v>
      </c>
      <c r="Z48" s="182"/>
    </row>
    <row r="49" spans="1:26" ht="16.5">
      <c r="A49" s="194"/>
      <c r="B49" s="181"/>
      <c r="C49" s="196" t="s">
        <v>224</v>
      </c>
      <c r="D49" s="197">
        <f t="shared" si="8"/>
        <v>0</v>
      </c>
      <c r="E49" s="197">
        <f t="shared" si="12"/>
        <v>0</v>
      </c>
      <c r="F49" s="197">
        <f t="shared" ref="F49:Y49" si="14">E49+F37</f>
        <v>0</v>
      </c>
      <c r="G49" s="197">
        <f t="shared" si="14"/>
        <v>0</v>
      </c>
      <c r="H49" s="197">
        <f t="shared" si="14"/>
        <v>0</v>
      </c>
      <c r="I49" s="197">
        <f t="shared" si="14"/>
        <v>0</v>
      </c>
      <c r="J49" s="197">
        <f t="shared" si="14"/>
        <v>0</v>
      </c>
      <c r="K49" s="197">
        <f t="shared" si="14"/>
        <v>0</v>
      </c>
      <c r="L49" s="197">
        <f t="shared" si="14"/>
        <v>0</v>
      </c>
      <c r="M49" s="197">
        <f t="shared" si="14"/>
        <v>0</v>
      </c>
      <c r="N49" s="197">
        <f t="shared" si="14"/>
        <v>0</v>
      </c>
      <c r="O49" s="197">
        <f t="shared" si="14"/>
        <v>0</v>
      </c>
      <c r="P49" s="197">
        <f t="shared" si="14"/>
        <v>0</v>
      </c>
      <c r="Q49" s="197">
        <f t="shared" si="14"/>
        <v>0</v>
      </c>
      <c r="R49" s="197">
        <f t="shared" si="14"/>
        <v>0</v>
      </c>
      <c r="S49" s="197">
        <f t="shared" si="14"/>
        <v>0</v>
      </c>
      <c r="T49" s="197">
        <f t="shared" si="14"/>
        <v>0</v>
      </c>
      <c r="U49" s="197">
        <f t="shared" si="14"/>
        <v>0</v>
      </c>
      <c r="V49" s="197">
        <f t="shared" si="14"/>
        <v>0</v>
      </c>
      <c r="W49" s="197">
        <f t="shared" si="14"/>
        <v>0</v>
      </c>
      <c r="X49" s="197">
        <f t="shared" si="14"/>
        <v>0</v>
      </c>
      <c r="Y49" s="197">
        <f t="shared" si="14"/>
        <v>0</v>
      </c>
      <c r="Z49" s="182"/>
    </row>
    <row r="50" spans="1:26" ht="16.5">
      <c r="A50" s="194"/>
      <c r="B50" s="181"/>
      <c r="C50" s="196" t="s">
        <v>225</v>
      </c>
      <c r="D50" s="197">
        <f t="shared" si="8"/>
        <v>0</v>
      </c>
      <c r="E50" s="197">
        <f t="shared" si="12"/>
        <v>0</v>
      </c>
      <c r="F50" s="197">
        <f t="shared" ref="F50:Y50" si="15">E50+F38</f>
        <v>0</v>
      </c>
      <c r="G50" s="197">
        <f t="shared" si="15"/>
        <v>0</v>
      </c>
      <c r="H50" s="197">
        <f t="shared" si="15"/>
        <v>0</v>
      </c>
      <c r="I50" s="197">
        <f t="shared" si="15"/>
        <v>0</v>
      </c>
      <c r="J50" s="197">
        <f t="shared" si="15"/>
        <v>0</v>
      </c>
      <c r="K50" s="197">
        <f t="shared" si="15"/>
        <v>0</v>
      </c>
      <c r="L50" s="197">
        <f t="shared" si="15"/>
        <v>0</v>
      </c>
      <c r="M50" s="197">
        <f t="shared" si="15"/>
        <v>0</v>
      </c>
      <c r="N50" s="197">
        <f t="shared" si="15"/>
        <v>0</v>
      </c>
      <c r="O50" s="197">
        <f t="shared" si="15"/>
        <v>0</v>
      </c>
      <c r="P50" s="197">
        <f t="shared" si="15"/>
        <v>0</v>
      </c>
      <c r="Q50" s="197">
        <f t="shared" si="15"/>
        <v>0</v>
      </c>
      <c r="R50" s="197">
        <f t="shared" si="15"/>
        <v>0</v>
      </c>
      <c r="S50" s="197">
        <f t="shared" si="15"/>
        <v>0</v>
      </c>
      <c r="T50" s="197">
        <f t="shared" si="15"/>
        <v>0</v>
      </c>
      <c r="U50" s="197">
        <f t="shared" si="15"/>
        <v>0</v>
      </c>
      <c r="V50" s="197">
        <f t="shared" si="15"/>
        <v>0</v>
      </c>
      <c r="W50" s="197">
        <f t="shared" si="15"/>
        <v>0</v>
      </c>
      <c r="X50" s="197">
        <f t="shared" si="15"/>
        <v>0</v>
      </c>
      <c r="Y50" s="197">
        <f t="shared" si="15"/>
        <v>0</v>
      </c>
      <c r="Z50" s="182"/>
    </row>
    <row r="51" spans="1:26" ht="16.5">
      <c r="A51" s="194"/>
      <c r="B51" s="181"/>
      <c r="C51" s="196" t="s">
        <v>226</v>
      </c>
      <c r="D51" s="197">
        <f t="shared" si="8"/>
        <v>0</v>
      </c>
      <c r="E51" s="197">
        <f t="shared" si="12"/>
        <v>0</v>
      </c>
      <c r="F51" s="197">
        <f t="shared" ref="F51:Y51" si="16">E51+F39</f>
        <v>0</v>
      </c>
      <c r="G51" s="197">
        <f t="shared" si="16"/>
        <v>0</v>
      </c>
      <c r="H51" s="197">
        <f t="shared" si="16"/>
        <v>0</v>
      </c>
      <c r="I51" s="197">
        <f t="shared" si="16"/>
        <v>0</v>
      </c>
      <c r="J51" s="197">
        <f t="shared" si="16"/>
        <v>0</v>
      </c>
      <c r="K51" s="197">
        <f t="shared" si="16"/>
        <v>0</v>
      </c>
      <c r="L51" s="197">
        <f t="shared" si="16"/>
        <v>0</v>
      </c>
      <c r="M51" s="197">
        <f t="shared" si="16"/>
        <v>0</v>
      </c>
      <c r="N51" s="197">
        <f t="shared" si="16"/>
        <v>0</v>
      </c>
      <c r="O51" s="197">
        <f t="shared" si="16"/>
        <v>0</v>
      </c>
      <c r="P51" s="197">
        <f t="shared" si="16"/>
        <v>0</v>
      </c>
      <c r="Q51" s="197">
        <f t="shared" si="16"/>
        <v>0</v>
      </c>
      <c r="R51" s="197">
        <f t="shared" si="16"/>
        <v>0</v>
      </c>
      <c r="S51" s="197">
        <f t="shared" si="16"/>
        <v>0</v>
      </c>
      <c r="T51" s="197">
        <f t="shared" si="16"/>
        <v>0</v>
      </c>
      <c r="U51" s="197">
        <f t="shared" si="16"/>
        <v>0</v>
      </c>
      <c r="V51" s="197">
        <f t="shared" si="16"/>
        <v>0</v>
      </c>
      <c r="W51" s="197">
        <f t="shared" si="16"/>
        <v>0</v>
      </c>
      <c r="X51" s="197">
        <f t="shared" si="16"/>
        <v>0</v>
      </c>
      <c r="Y51" s="197">
        <f t="shared" si="16"/>
        <v>0</v>
      </c>
      <c r="Z51" s="182"/>
    </row>
    <row r="52" spans="1:26">
      <c r="A52" s="194"/>
      <c r="B52" s="181"/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1"/>
      <c r="O52" s="181"/>
      <c r="P52" s="181"/>
      <c r="Q52" s="181"/>
      <c r="R52" s="181"/>
      <c r="S52" s="181"/>
      <c r="T52" s="181"/>
      <c r="U52" s="181"/>
      <c r="V52" s="181"/>
      <c r="W52" s="181"/>
      <c r="X52" s="181"/>
      <c r="Y52" s="181"/>
      <c r="Z52" s="182"/>
    </row>
    <row r="53" spans="1:26">
      <c r="A53" s="194"/>
      <c r="B53" s="181"/>
      <c r="C53" s="181"/>
      <c r="D53" s="181"/>
      <c r="E53" s="181"/>
      <c r="F53" s="181"/>
      <c r="G53" s="181"/>
      <c r="H53" s="181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  <c r="W53" s="181"/>
      <c r="X53" s="181"/>
      <c r="Y53" s="181"/>
      <c r="Z53" s="182"/>
    </row>
    <row r="54" spans="1:26" ht="16.5">
      <c r="A54" s="194"/>
      <c r="B54" s="181" t="s">
        <v>228</v>
      </c>
      <c r="C54" s="181"/>
      <c r="D54" s="181"/>
      <c r="E54" s="181"/>
      <c r="F54" s="181"/>
      <c r="G54" s="181"/>
      <c r="H54" s="181"/>
      <c r="I54" s="181"/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  <c r="U54" s="181"/>
      <c r="V54" s="181"/>
      <c r="W54" s="181"/>
      <c r="X54" s="181"/>
      <c r="Y54" s="181"/>
      <c r="Z54" s="182"/>
    </row>
    <row r="55" spans="1:26" ht="16.5">
      <c r="A55" s="194"/>
      <c r="B55" s="181" t="s">
        <v>229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2"/>
    </row>
    <row r="56" spans="1:26" ht="16.5">
      <c r="A56" s="194"/>
      <c r="B56" s="181" t="s">
        <v>230</v>
      </c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  <c r="W56" s="181"/>
      <c r="X56" s="181"/>
      <c r="Y56" s="181"/>
      <c r="Z56" s="182"/>
    </row>
    <row r="57" spans="1:26">
      <c r="A57" s="194"/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181"/>
      <c r="Q57" s="181"/>
      <c r="R57" s="181"/>
      <c r="S57" s="181"/>
      <c r="T57" s="181"/>
      <c r="U57" s="181"/>
      <c r="V57" s="181"/>
      <c r="W57" s="181"/>
      <c r="X57" s="181"/>
      <c r="Y57" s="181"/>
      <c r="Z57" s="182"/>
    </row>
    <row r="58" spans="1:26">
      <c r="A58" s="194"/>
      <c r="B58" s="181"/>
      <c r="C58" s="181"/>
      <c r="D58" s="181"/>
      <c r="E58" s="181"/>
      <c r="F58" s="181"/>
      <c r="G58" s="181"/>
      <c r="H58" s="181"/>
      <c r="I58" s="181"/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81"/>
      <c r="W58" s="181"/>
      <c r="X58" s="181"/>
      <c r="Y58" s="181"/>
      <c r="Z58" s="182"/>
    </row>
    <row r="59" spans="1:26">
      <c r="A59" s="194"/>
      <c r="B59" s="181"/>
      <c r="C59" s="181"/>
      <c r="D59" s="181"/>
      <c r="E59" s="181"/>
      <c r="F59" s="181"/>
      <c r="G59" s="181"/>
      <c r="H59" s="181"/>
      <c r="I59" s="181"/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T59" s="181"/>
      <c r="U59" s="181"/>
      <c r="V59" s="181"/>
      <c r="W59" s="181"/>
      <c r="X59" s="181"/>
      <c r="Y59" s="181"/>
      <c r="Z59" s="182"/>
    </row>
    <row r="60" spans="1:26">
      <c r="A60" s="194"/>
      <c r="B60" s="181"/>
      <c r="C60" s="181"/>
      <c r="D60" s="181"/>
      <c r="E60" s="181"/>
      <c r="F60" s="181"/>
      <c r="G60" s="181"/>
      <c r="H60" s="181"/>
      <c r="I60" s="181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81"/>
      <c r="W60" s="181"/>
      <c r="X60" s="181"/>
      <c r="Y60" s="181"/>
      <c r="Z60" s="182"/>
    </row>
    <row r="61" spans="1:26">
      <c r="A61" s="194"/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181"/>
      <c r="V61" s="181"/>
      <c r="W61" s="181"/>
      <c r="X61" s="181"/>
      <c r="Y61" s="181"/>
      <c r="Z61" s="182"/>
    </row>
    <row r="62" spans="1:26">
      <c r="A62" s="194"/>
      <c r="B62" s="181"/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181"/>
      <c r="V62" s="181"/>
      <c r="W62" s="181"/>
      <c r="X62" s="181"/>
      <c r="Y62" s="181"/>
      <c r="Z62" s="182"/>
    </row>
    <row r="63" spans="1:26">
      <c r="A63" s="194"/>
      <c r="B63" s="181"/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1"/>
      <c r="Y63" s="181"/>
      <c r="Z63" s="182"/>
    </row>
    <row r="64" spans="1:26">
      <c r="A64" s="194"/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181"/>
      <c r="V64" s="181"/>
      <c r="W64" s="181"/>
      <c r="X64" s="181"/>
      <c r="Y64" s="181"/>
      <c r="Z64" s="182"/>
    </row>
    <row r="65" spans="1:26">
      <c r="A65" s="194"/>
      <c r="B65" s="181"/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182"/>
    </row>
    <row r="66" spans="1:26">
      <c r="A66" s="194"/>
      <c r="B66" s="181"/>
      <c r="C66" s="181"/>
      <c r="D66" s="181"/>
      <c r="E66" s="181"/>
      <c r="F66" s="18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182"/>
    </row>
    <row r="67" spans="1:26">
      <c r="A67" s="194"/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1"/>
      <c r="P67" s="181"/>
      <c r="Q67" s="181"/>
      <c r="R67" s="181"/>
      <c r="S67" s="181"/>
      <c r="T67" s="181"/>
      <c r="U67" s="181"/>
      <c r="V67" s="181"/>
      <c r="W67" s="181"/>
      <c r="X67" s="181"/>
      <c r="Y67" s="181"/>
      <c r="Z67" s="182"/>
    </row>
    <row r="68" spans="1:26">
      <c r="A68" s="194"/>
      <c r="B68" s="181"/>
      <c r="C68" s="181"/>
      <c r="D68" s="181"/>
      <c r="E68" s="181"/>
      <c r="F68" s="181"/>
      <c r="G68" s="181"/>
      <c r="H68" s="181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2"/>
    </row>
    <row r="69" spans="1:26">
      <c r="A69" s="194"/>
      <c r="B69" s="181"/>
      <c r="C69" s="181"/>
      <c r="D69" s="181"/>
      <c r="E69" s="181"/>
      <c r="F69" s="181"/>
      <c r="G69" s="181"/>
      <c r="H69" s="181"/>
      <c r="I69" s="181"/>
      <c r="J69" s="181"/>
      <c r="K69" s="181"/>
      <c r="L69" s="181"/>
      <c r="M69" s="181"/>
      <c r="N69" s="181"/>
      <c r="O69" s="181"/>
      <c r="P69" s="181"/>
      <c r="Q69" s="181"/>
      <c r="R69" s="181"/>
      <c r="S69" s="181"/>
      <c r="T69" s="181"/>
      <c r="U69" s="181"/>
      <c r="V69" s="181"/>
      <c r="W69" s="181"/>
      <c r="X69" s="181"/>
      <c r="Y69" s="181"/>
      <c r="Z69" s="182"/>
    </row>
    <row r="70" spans="1:26">
      <c r="A70" s="194"/>
      <c r="B70" s="181"/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1"/>
      <c r="N70" s="181"/>
      <c r="O70" s="181"/>
      <c r="P70" s="181"/>
      <c r="Q70" s="181"/>
      <c r="R70" s="181"/>
      <c r="S70" s="181"/>
      <c r="T70" s="181"/>
      <c r="U70" s="181"/>
      <c r="V70" s="181"/>
      <c r="W70" s="181"/>
      <c r="X70" s="181"/>
      <c r="Y70" s="181"/>
      <c r="Z70" s="182"/>
    </row>
    <row r="71" spans="1:26">
      <c r="A71" s="194"/>
      <c r="B71" s="181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2"/>
    </row>
    <row r="72" spans="1:26">
      <c r="A72" s="194"/>
      <c r="B72" s="181"/>
      <c r="C72" s="181"/>
      <c r="D72" s="181"/>
      <c r="E72" s="181"/>
      <c r="F72" s="18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2"/>
    </row>
    <row r="73" spans="1:26">
      <c r="A73" s="194"/>
      <c r="B73" s="181"/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2"/>
    </row>
    <row r="74" spans="1:26" ht="16.5" thickBot="1">
      <c r="A74" s="198"/>
      <c r="B74" s="199"/>
      <c r="C74" s="199"/>
      <c r="D74" s="199"/>
      <c r="E74" s="199"/>
      <c r="F74" s="199"/>
      <c r="G74" s="199"/>
      <c r="H74" s="199"/>
      <c r="I74" s="199"/>
      <c r="J74" s="199"/>
      <c r="K74" s="199"/>
      <c r="L74" s="199"/>
      <c r="M74" s="199"/>
      <c r="N74" s="199"/>
      <c r="O74" s="199"/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82"/>
    </row>
    <row r="75" spans="1:26">
      <c r="Z75" s="182"/>
    </row>
    <row r="76" spans="1:26">
      <c r="Z76" s="182"/>
    </row>
    <row r="77" spans="1:26">
      <c r="Z77" s="182"/>
    </row>
    <row r="78" spans="1:26">
      <c r="Z78" s="182"/>
    </row>
    <row r="79" spans="1:26">
      <c r="Z79" s="182"/>
    </row>
    <row r="80" spans="1:26">
      <c r="Z80" s="182"/>
    </row>
    <row r="81" spans="26:26">
      <c r="Z81" s="182"/>
    </row>
    <row r="82" spans="26:26">
      <c r="Z82" s="182"/>
    </row>
    <row r="83" spans="26:26">
      <c r="Z83" s="182"/>
    </row>
    <row r="84" spans="26:26">
      <c r="Z84" s="182"/>
    </row>
    <row r="85" spans="26:26" ht="16.5" thickBot="1">
      <c r="Z85" s="200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0" tint="-0.14999847407452621"/>
    <pageSetUpPr fitToPage="1"/>
  </sheetPr>
  <dimension ref="B5:AC86"/>
  <sheetViews>
    <sheetView topLeftCell="C4" zoomScale="85" zoomScaleNormal="85" workbookViewId="0">
      <selection activeCell="AA25" sqref="AA25"/>
    </sheetView>
  </sheetViews>
  <sheetFormatPr defaultColWidth="9" defaultRowHeight="16.5" outlineLevelRow="1"/>
  <cols>
    <col min="1" max="2" width="9" style="76"/>
    <col min="3" max="3" width="40.875" style="93" bestFit="1" customWidth="1"/>
    <col min="4" max="4" width="10.75" style="94" customWidth="1"/>
    <col min="5" max="5" width="17.625" style="76" customWidth="1"/>
    <col min="6" max="6" width="10.75" style="76" customWidth="1"/>
    <col min="7" max="7" width="17.625" style="76" customWidth="1"/>
    <col min="8" max="8" width="10.75" style="76" customWidth="1"/>
    <col min="9" max="9" width="17.625" style="76" customWidth="1"/>
    <col min="10" max="10" width="10.75" style="76" customWidth="1"/>
    <col min="11" max="11" width="17.625" style="76" customWidth="1"/>
    <col min="12" max="12" width="9" style="76" customWidth="1"/>
    <col min="13" max="13" width="17.625" style="76" customWidth="1"/>
    <col min="14" max="14" width="9" style="76" hidden="1" customWidth="1"/>
    <col min="15" max="15" width="17.625" style="76" hidden="1" customWidth="1"/>
    <col min="16" max="16" width="9" style="76" hidden="1" customWidth="1"/>
    <col min="17" max="17" width="17.625" style="76" hidden="1" customWidth="1"/>
    <col min="18" max="18" width="9" style="76" hidden="1" customWidth="1"/>
    <col min="19" max="19" width="17.625" style="76" hidden="1" customWidth="1"/>
    <col min="20" max="20" width="9" style="76" hidden="1" customWidth="1"/>
    <col min="21" max="21" width="17.625" style="76" hidden="1" customWidth="1"/>
    <col min="22" max="22" width="9" style="76" hidden="1" customWidth="1"/>
    <col min="23" max="23" width="17.625" style="76" hidden="1" customWidth="1"/>
    <col min="24" max="24" width="9" style="76"/>
    <col min="25" max="25" width="9" style="76" customWidth="1"/>
    <col min="26" max="26" width="9" style="76"/>
    <col min="27" max="27" width="12.75" style="76" customWidth="1"/>
    <col min="28" max="28" width="9" style="76"/>
    <col min="29" max="29" width="12.625" style="76" customWidth="1"/>
    <col min="30" max="16384" width="9" style="76"/>
  </cols>
  <sheetData>
    <row r="5" spans="2:29">
      <c r="B5" s="100" t="s">
        <v>0</v>
      </c>
      <c r="C5" s="101"/>
      <c r="D5" s="102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</row>
    <row r="6" spans="2:29">
      <c r="B6" s="103" t="s">
        <v>1</v>
      </c>
      <c r="C6" s="104" t="s">
        <v>2</v>
      </c>
      <c r="D6" s="105" t="s">
        <v>5</v>
      </c>
      <c r="E6" s="76">
        <v>8</v>
      </c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</row>
    <row r="7" spans="2:29">
      <c r="B7" s="103" t="s">
        <v>1</v>
      </c>
      <c r="C7" s="104" t="s">
        <v>3</v>
      </c>
      <c r="D7" s="105" t="s">
        <v>6</v>
      </c>
      <c r="E7" s="76">
        <v>2.5</v>
      </c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</row>
    <row r="8" spans="2:29">
      <c r="B8" s="103" t="s">
        <v>1</v>
      </c>
      <c r="C8" s="104" t="s">
        <v>4</v>
      </c>
      <c r="D8" s="105"/>
      <c r="E8" s="76">
        <v>5</v>
      </c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</row>
    <row r="9" spans="2:29">
      <c r="B9" s="103"/>
      <c r="C9" s="106" t="s">
        <v>134</v>
      </c>
      <c r="D9" s="105" t="s">
        <v>135</v>
      </c>
      <c r="E9" s="76">
        <v>2019</v>
      </c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</row>
    <row r="10" spans="2:29">
      <c r="B10" s="107"/>
      <c r="C10" s="108"/>
      <c r="D10" s="109"/>
    </row>
    <row r="11" spans="2:29">
      <c r="B11" s="100" t="s">
        <v>7</v>
      </c>
      <c r="C11" s="101"/>
      <c r="D11" s="102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2:29">
      <c r="B12" s="110"/>
      <c r="C12" s="111" t="s">
        <v>8</v>
      </c>
      <c r="D12" s="112"/>
      <c r="E12" s="82" t="s">
        <v>177</v>
      </c>
      <c r="F12" s="81"/>
      <c r="G12" s="82" t="s">
        <v>178</v>
      </c>
      <c r="H12" s="81"/>
      <c r="I12" s="82" t="s">
        <v>179</v>
      </c>
      <c r="J12" s="81"/>
      <c r="K12" s="82" t="s">
        <v>180</v>
      </c>
      <c r="L12" s="81"/>
      <c r="M12" s="82" t="s">
        <v>101</v>
      </c>
      <c r="N12" s="81"/>
      <c r="O12" s="82" t="s">
        <v>102</v>
      </c>
      <c r="P12" s="81"/>
      <c r="Q12" s="82" t="s">
        <v>103</v>
      </c>
      <c r="R12" s="81"/>
      <c r="S12" s="82" t="s">
        <v>104</v>
      </c>
      <c r="T12" s="81"/>
      <c r="U12" s="82" t="s">
        <v>105</v>
      </c>
      <c r="V12" s="81"/>
      <c r="W12" s="82" t="s">
        <v>106</v>
      </c>
    </row>
    <row r="13" spans="2:29">
      <c r="B13" s="110"/>
      <c r="C13" s="111"/>
      <c r="D13" s="113"/>
      <c r="E13" s="156" t="s">
        <v>176</v>
      </c>
      <c r="F13" s="83"/>
      <c r="G13" s="160" t="s">
        <v>183</v>
      </c>
      <c r="H13" s="83"/>
      <c r="I13" s="156" t="s">
        <v>182</v>
      </c>
      <c r="J13" s="83"/>
      <c r="K13" s="160" t="s">
        <v>181</v>
      </c>
      <c r="L13" s="83"/>
      <c r="M13" s="160" t="s">
        <v>50</v>
      </c>
      <c r="N13" s="83"/>
      <c r="O13" s="160"/>
      <c r="P13" s="83"/>
      <c r="Q13" s="160"/>
      <c r="R13" s="83"/>
      <c r="S13" s="160"/>
      <c r="T13" s="83"/>
      <c r="U13" s="160"/>
      <c r="V13" s="83"/>
      <c r="W13" s="160"/>
    </row>
    <row r="14" spans="2:29">
      <c r="B14" s="103" t="s">
        <v>1</v>
      </c>
      <c r="C14" s="104" t="s">
        <v>120</v>
      </c>
      <c r="D14" s="113"/>
      <c r="E14" s="76">
        <v>12</v>
      </c>
      <c r="F14" s="83"/>
      <c r="G14" s="76">
        <v>12</v>
      </c>
      <c r="H14" s="83"/>
      <c r="I14" s="76">
        <v>12</v>
      </c>
      <c r="J14" s="83"/>
      <c r="K14" s="76">
        <v>12</v>
      </c>
      <c r="L14" s="83"/>
      <c r="M14" s="76">
        <v>12</v>
      </c>
      <c r="N14" s="83"/>
      <c r="P14" s="83"/>
      <c r="R14" s="83"/>
      <c r="T14" s="83"/>
      <c r="V14" s="83"/>
      <c r="AA14" s="154"/>
      <c r="AC14" s="154"/>
    </row>
    <row r="15" spans="2:29">
      <c r="B15" s="103" t="s">
        <v>1</v>
      </c>
      <c r="C15" s="104" t="s">
        <v>175</v>
      </c>
      <c r="D15" s="105" t="s">
        <v>20</v>
      </c>
      <c r="E15" s="84">
        <v>7800000</v>
      </c>
      <c r="F15" s="78" t="s">
        <v>20</v>
      </c>
      <c r="G15" s="84">
        <v>6420000</v>
      </c>
      <c r="H15" s="78" t="s">
        <v>20</v>
      </c>
      <c r="I15" s="84">
        <v>6400000</v>
      </c>
      <c r="J15" s="78" t="s">
        <v>20</v>
      </c>
      <c r="K15" s="84">
        <v>7000000</v>
      </c>
      <c r="L15" s="78" t="s">
        <v>20</v>
      </c>
      <c r="M15" s="84">
        <v>5300000</v>
      </c>
      <c r="N15" s="78" t="s">
        <v>20</v>
      </c>
      <c r="P15" s="78" t="s">
        <v>20</v>
      </c>
      <c r="R15" s="78" t="s">
        <v>20</v>
      </c>
      <c r="T15" s="78" t="s">
        <v>20</v>
      </c>
      <c r="V15" s="78" t="s">
        <v>20</v>
      </c>
      <c r="AA15" s="154"/>
      <c r="AC15" s="154"/>
    </row>
    <row r="16" spans="2:29">
      <c r="B16" s="114"/>
      <c r="C16" s="115" t="s">
        <v>26</v>
      </c>
      <c r="D16" s="105" t="s">
        <v>21</v>
      </c>
      <c r="E16" s="79"/>
      <c r="F16" s="78" t="s">
        <v>21</v>
      </c>
      <c r="G16" s="85"/>
      <c r="H16" s="78" t="s">
        <v>21</v>
      </c>
      <c r="J16" s="78" t="s">
        <v>21</v>
      </c>
      <c r="K16" s="85"/>
      <c r="L16" s="78" t="s">
        <v>21</v>
      </c>
      <c r="M16" s="85"/>
      <c r="N16" s="78" t="s">
        <v>21</v>
      </c>
      <c r="O16" s="85"/>
      <c r="P16" s="78" t="s">
        <v>21</v>
      </c>
      <c r="Q16" s="85"/>
      <c r="R16" s="78" t="s">
        <v>21</v>
      </c>
      <c r="S16" s="85"/>
      <c r="T16" s="78" t="s">
        <v>21</v>
      </c>
      <c r="U16" s="85"/>
      <c r="V16" s="78" t="s">
        <v>21</v>
      </c>
      <c r="W16" s="85"/>
      <c r="AA16" s="154"/>
      <c r="AB16" s="154"/>
      <c r="AC16" s="154"/>
    </row>
    <row r="17" spans="2:29">
      <c r="B17" s="114"/>
      <c r="C17" s="115" t="s">
        <v>155</v>
      </c>
      <c r="D17" s="105" t="s">
        <v>157</v>
      </c>
      <c r="E17" s="86">
        <v>17901.240000000002</v>
      </c>
      <c r="F17" s="105" t="s">
        <v>157</v>
      </c>
      <c r="G17" s="86">
        <v>12000</v>
      </c>
      <c r="H17" s="105" t="s">
        <v>157</v>
      </c>
      <c r="I17" s="86">
        <v>16666.669999999998</v>
      </c>
      <c r="J17" s="105" t="s">
        <v>157</v>
      </c>
      <c r="K17" s="86">
        <v>8156.03</v>
      </c>
      <c r="L17" s="105" t="s">
        <v>157</v>
      </c>
      <c r="M17" s="86"/>
      <c r="N17" s="105" t="s">
        <v>157</v>
      </c>
      <c r="O17" s="86"/>
      <c r="P17" s="105" t="s">
        <v>157</v>
      </c>
      <c r="Q17" s="86"/>
      <c r="R17" s="105" t="s">
        <v>157</v>
      </c>
      <c r="S17" s="86"/>
      <c r="T17" s="105" t="s">
        <v>157</v>
      </c>
      <c r="U17" s="86"/>
      <c r="V17" s="105" t="s">
        <v>157</v>
      </c>
      <c r="W17" s="86"/>
      <c r="AA17" s="154"/>
    </row>
    <row r="18" spans="2:29">
      <c r="B18" s="114"/>
      <c r="C18" s="115" t="s">
        <v>156</v>
      </c>
      <c r="D18" s="105" t="s">
        <v>158</v>
      </c>
      <c r="E18" s="76">
        <v>324</v>
      </c>
      <c r="F18" s="105" t="s">
        <v>158</v>
      </c>
      <c r="G18" s="76">
        <v>240</v>
      </c>
      <c r="H18" s="105" t="s">
        <v>158</v>
      </c>
      <c r="I18" s="76">
        <v>72</v>
      </c>
      <c r="J18" s="105" t="s">
        <v>158</v>
      </c>
      <c r="K18" s="76">
        <v>282</v>
      </c>
      <c r="L18" s="105" t="s">
        <v>158</v>
      </c>
      <c r="N18" s="105" t="s">
        <v>158</v>
      </c>
      <c r="P18" s="105" t="s">
        <v>158</v>
      </c>
      <c r="R18" s="105" t="s">
        <v>158</v>
      </c>
      <c r="T18" s="105" t="s">
        <v>158</v>
      </c>
      <c r="V18" s="105" t="s">
        <v>158</v>
      </c>
      <c r="AA18" s="154"/>
      <c r="AB18" s="154"/>
      <c r="AC18" s="154"/>
    </row>
    <row r="19" spans="2:29" s="129" customFormat="1">
      <c r="B19" s="114"/>
      <c r="C19" s="115" t="s">
        <v>154</v>
      </c>
      <c r="D19" s="105" t="s">
        <v>25</v>
      </c>
      <c r="E19" s="75">
        <f>IF(E33&gt;0,0,E17*E18)</f>
        <v>5800001.7600000007</v>
      </c>
      <c r="F19" s="105"/>
      <c r="G19" s="75">
        <f>IF(G33&gt;0,0,G17*G18)</f>
        <v>2880000</v>
      </c>
      <c r="H19" s="105"/>
      <c r="I19" s="75">
        <f>IF(I33&gt;0,0,I17*I18)</f>
        <v>1200000.2399999998</v>
      </c>
      <c r="J19" s="105"/>
      <c r="K19" s="75">
        <f>IF(K33&gt;0,0,K17*K18)</f>
        <v>2300000.46</v>
      </c>
      <c r="L19" s="105"/>
      <c r="M19" s="75">
        <f>IF(M33&gt;0,0,M17*M18)</f>
        <v>0</v>
      </c>
      <c r="N19" s="105"/>
      <c r="O19" s="75">
        <f>IF(O33&gt;0,0,O17*O18)</f>
        <v>0</v>
      </c>
      <c r="P19" s="105"/>
      <c r="Q19" s="75">
        <f>IF(Q33&gt;0,0,Q17*Q18)</f>
        <v>0</v>
      </c>
      <c r="R19" s="105"/>
      <c r="S19" s="75">
        <f>IF(S33&gt;0,0,S17*S18)</f>
        <v>0</v>
      </c>
      <c r="T19" s="105"/>
      <c r="U19" s="75">
        <f>IF(U33&gt;0,0,U17*U18)</f>
        <v>0</v>
      </c>
      <c r="V19" s="105"/>
      <c r="W19" s="75">
        <f>IF(W33&gt;0,0,W17*W18)</f>
        <v>0</v>
      </c>
      <c r="X19" s="76"/>
      <c r="AA19" s="157"/>
      <c r="AB19" s="157"/>
      <c r="AC19" s="157"/>
    </row>
    <row r="20" spans="2:29">
      <c r="B20" s="103" t="s">
        <v>1</v>
      </c>
      <c r="C20" s="104" t="s">
        <v>150</v>
      </c>
      <c r="D20" s="105" t="s">
        <v>25</v>
      </c>
      <c r="E20" s="84">
        <v>620000</v>
      </c>
      <c r="F20" s="78" t="s">
        <v>25</v>
      </c>
      <c r="G20" s="84">
        <v>600000</v>
      </c>
      <c r="H20" s="78" t="s">
        <v>25</v>
      </c>
      <c r="I20" s="84">
        <v>600000</v>
      </c>
      <c r="J20" s="78" t="s">
        <v>25</v>
      </c>
      <c r="K20" s="84">
        <v>700000</v>
      </c>
      <c r="L20" s="78" t="s">
        <v>25</v>
      </c>
      <c r="M20" s="84">
        <v>600000</v>
      </c>
      <c r="N20" s="78" t="s">
        <v>25</v>
      </c>
      <c r="O20" s="84"/>
      <c r="P20" s="78" t="s">
        <v>25</v>
      </c>
      <c r="Q20" s="84"/>
      <c r="R20" s="78" t="s">
        <v>25</v>
      </c>
      <c r="S20" s="84"/>
      <c r="T20" s="78" t="s">
        <v>25</v>
      </c>
      <c r="U20" s="84"/>
      <c r="V20" s="78" t="s">
        <v>25</v>
      </c>
      <c r="W20" s="84"/>
      <c r="AA20" s="154"/>
      <c r="AB20" s="154"/>
      <c r="AC20" s="154"/>
    </row>
    <row r="21" spans="2:29">
      <c r="B21" s="114"/>
      <c r="C21" s="104" t="s">
        <v>151</v>
      </c>
      <c r="D21" s="105" t="s">
        <v>25</v>
      </c>
      <c r="E21" s="84"/>
      <c r="F21" s="78" t="s">
        <v>25</v>
      </c>
      <c r="G21" s="84"/>
      <c r="H21" s="78" t="s">
        <v>25</v>
      </c>
      <c r="I21" s="84"/>
      <c r="J21" s="78" t="s">
        <v>25</v>
      </c>
      <c r="K21" s="84"/>
      <c r="L21" s="78" t="s">
        <v>25</v>
      </c>
      <c r="M21" s="84"/>
      <c r="N21" s="78" t="s">
        <v>25</v>
      </c>
      <c r="O21" s="84"/>
      <c r="P21" s="78" t="s">
        <v>25</v>
      </c>
      <c r="Q21" s="84"/>
      <c r="R21" s="78" t="s">
        <v>25</v>
      </c>
      <c r="S21" s="84"/>
      <c r="T21" s="78" t="s">
        <v>25</v>
      </c>
      <c r="U21" s="84"/>
      <c r="V21" s="78" t="s">
        <v>25</v>
      </c>
      <c r="W21" s="84"/>
    </row>
    <row r="22" spans="2:29">
      <c r="B22" s="114"/>
      <c r="C22" s="104" t="s">
        <v>152</v>
      </c>
      <c r="D22" s="105" t="s">
        <v>24</v>
      </c>
      <c r="E22" s="86"/>
      <c r="F22" s="78" t="s">
        <v>24</v>
      </c>
      <c r="H22" s="78" t="s">
        <v>24</v>
      </c>
      <c r="J22" s="78" t="s">
        <v>24</v>
      </c>
      <c r="L22" s="78" t="s">
        <v>24</v>
      </c>
      <c r="N22" s="78" t="s">
        <v>24</v>
      </c>
      <c r="P22" s="78" t="s">
        <v>24</v>
      </c>
      <c r="R22" s="78" t="s">
        <v>24</v>
      </c>
      <c r="T22" s="78" t="s">
        <v>24</v>
      </c>
      <c r="V22" s="78" t="s">
        <v>24</v>
      </c>
      <c r="Y22" s="158"/>
      <c r="Z22" s="158"/>
      <c r="AA22" s="158"/>
      <c r="AB22" s="158"/>
      <c r="AC22" s="158"/>
    </row>
    <row r="23" spans="2:29">
      <c r="B23" s="114"/>
      <c r="C23" s="104" t="s">
        <v>153</v>
      </c>
      <c r="D23" s="105" t="s">
        <v>24</v>
      </c>
      <c r="E23" s="86"/>
      <c r="F23" s="78" t="s">
        <v>24</v>
      </c>
      <c r="H23" s="78" t="s">
        <v>24</v>
      </c>
      <c r="J23" s="78" t="s">
        <v>24</v>
      </c>
      <c r="L23" s="78" t="s">
        <v>24</v>
      </c>
      <c r="N23" s="78" t="s">
        <v>24</v>
      </c>
      <c r="P23" s="78" t="s">
        <v>24</v>
      </c>
      <c r="R23" s="78" t="s">
        <v>24</v>
      </c>
      <c r="T23" s="78" t="s">
        <v>24</v>
      </c>
      <c r="V23" s="78" t="s">
        <v>24</v>
      </c>
      <c r="Y23" s="158"/>
      <c r="Z23" s="158"/>
      <c r="AA23" s="158"/>
      <c r="AB23" s="158"/>
      <c r="AC23" s="158"/>
    </row>
    <row r="24" spans="2:29" s="129" customFormat="1">
      <c r="B24" s="116"/>
      <c r="C24" s="117" t="str">
        <f>B11</f>
        <v>資產採購成本</v>
      </c>
      <c r="D24" s="118"/>
      <c r="E24" s="98">
        <f ca="1">IF(CELL("contents",E14)&gt;0,-PV($E$7*0.01,$E$6,E16+E22/E14+E23/E14,,1)+E15+E19+E20/E14+E21/E14,0)</f>
        <v>13651668.426666668</v>
      </c>
      <c r="F24" s="118"/>
      <c r="G24" s="98">
        <f ca="1">IF(CELL("contents",G14)&gt;0,-PV($E$7*0.01,$E$6,G16+G22/G14+G23/G14,,1)+G15+G19+G20/G14+G21/G14,0)</f>
        <v>9350000</v>
      </c>
      <c r="H24" s="118"/>
      <c r="I24" s="98">
        <f ca="1">IF(CELL("contents",I14)&gt;0,-PV($E$7*0.01,$E$6,I16+I22/I14+I23/I14,,1)+I15+I19+I20/I14+I21/I14,0)</f>
        <v>7650000.2400000002</v>
      </c>
      <c r="J24" s="118"/>
      <c r="K24" s="98">
        <f ca="1">IF(CELL("contents",K14)&gt;0,-PV($E$7*0.01,$E$6,K16+K22/K14+K23/K14,,1)+K15+K19+K20/K14+K21/K14,0)</f>
        <v>9358333.7933333348</v>
      </c>
      <c r="L24" s="118"/>
      <c r="M24" s="98">
        <f ca="1">IF(CELL("contents",M14)&gt;0,-PV($E$7*0.01,$E$6,M16+M22/M14+M23/M14,,1)+M15+M19+M20/M14+M21/M14,0)</f>
        <v>5350000</v>
      </c>
      <c r="N24" s="118"/>
      <c r="O24" s="98">
        <f ca="1">IF(CELL("contents",O14)&gt;0,-PV($E$7*0.01,$E$6,O16+O22/O14+O23/O14,,1)+O15+O19+O20/O14+O21/O14,0)</f>
        <v>0</v>
      </c>
      <c r="P24" s="118"/>
      <c r="Q24" s="98">
        <f ca="1">IF(CELL("contents",Q14)&gt;0,-PV($E$7*0.01,$E$6,Q16+Q22/Q14+Q23/Q14,,1)+Q15+Q19+Q20/Q14+Q21/Q14,0)</f>
        <v>0</v>
      </c>
      <c r="R24" s="118"/>
      <c r="S24" s="98">
        <f ca="1">IF(CELL("contents",S14)&gt;0,-PV($E$7*0.01,$E$6,S16+S22/S14+S23/S14,,1)+S15+S19+S20/S14+S21/S14,0)</f>
        <v>0</v>
      </c>
      <c r="T24" s="118"/>
      <c r="U24" s="98">
        <f ca="1">IF(CELL("contents",U14)&gt;0,-PV($E$7*0.01,$E$6,U16+U22/U14+U23/U14,,1)+U15+U19+U20/U14+U21/U14,0)</f>
        <v>0</v>
      </c>
      <c r="V24" s="118"/>
      <c r="W24" s="98">
        <f ca="1">IF(CELL("contents",W14)&gt;0,-PV($E$7*0.01,$E$6,W16+W22/W14+W23/W14,,1)+W15+W19+W20/W14+W21/W14,0)</f>
        <v>0</v>
      </c>
      <c r="X24" s="76"/>
      <c r="Y24" s="159"/>
      <c r="Z24" s="159"/>
      <c r="AA24" s="158"/>
      <c r="AB24" s="158"/>
      <c r="AC24" s="158"/>
    </row>
    <row r="25" spans="2:29">
      <c r="B25" s="107"/>
      <c r="C25" s="108"/>
      <c r="D25" s="109"/>
      <c r="Y25" s="158"/>
      <c r="Z25" s="158"/>
      <c r="AA25" s="158"/>
      <c r="AB25" s="158"/>
      <c r="AC25" s="158"/>
    </row>
    <row r="26" spans="2:29">
      <c r="B26" s="100" t="s">
        <v>107</v>
      </c>
      <c r="C26" s="100"/>
      <c r="D26" s="102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Y26" s="158"/>
      <c r="Z26" s="158"/>
      <c r="AA26" s="158"/>
      <c r="AB26" s="158"/>
      <c r="AC26" s="158"/>
    </row>
    <row r="27" spans="2:29">
      <c r="B27" s="119" t="s">
        <v>1</v>
      </c>
      <c r="C27" s="120" t="s">
        <v>9</v>
      </c>
      <c r="D27" s="121" t="s">
        <v>10</v>
      </c>
      <c r="E27" s="87">
        <v>41667</v>
      </c>
      <c r="F27" s="88" t="s">
        <v>10</v>
      </c>
      <c r="G27" s="87">
        <v>41667</v>
      </c>
      <c r="H27" s="88" t="s">
        <v>10</v>
      </c>
      <c r="I27" s="87">
        <v>41667</v>
      </c>
      <c r="J27" s="88" t="s">
        <v>10</v>
      </c>
      <c r="K27" s="87">
        <v>41667</v>
      </c>
      <c r="L27" s="88" t="s">
        <v>10</v>
      </c>
      <c r="M27" s="87">
        <v>41667</v>
      </c>
      <c r="N27" s="88" t="s">
        <v>10</v>
      </c>
      <c r="O27" s="87"/>
      <c r="P27" s="88" t="s">
        <v>10</v>
      </c>
      <c r="Q27" s="87"/>
      <c r="R27" s="88" t="s">
        <v>10</v>
      </c>
      <c r="S27" s="87"/>
      <c r="T27" s="88" t="s">
        <v>10</v>
      </c>
      <c r="U27" s="87"/>
      <c r="V27" s="88" t="s">
        <v>10</v>
      </c>
      <c r="W27" s="87"/>
      <c r="Y27" s="158"/>
      <c r="Z27" s="158"/>
      <c r="AA27" s="158"/>
      <c r="AB27" s="158"/>
      <c r="AC27" s="158"/>
    </row>
    <row r="28" spans="2:29">
      <c r="B28" s="119" t="s">
        <v>1</v>
      </c>
      <c r="C28" s="122" t="s">
        <v>11</v>
      </c>
      <c r="D28" s="123"/>
      <c r="E28" s="90" t="s">
        <v>53</v>
      </c>
      <c r="F28" s="89"/>
      <c r="G28" s="90" t="s">
        <v>53</v>
      </c>
      <c r="H28" s="89"/>
      <c r="I28" s="90" t="s">
        <v>53</v>
      </c>
      <c r="J28" s="89"/>
      <c r="K28" s="90" t="s">
        <v>53</v>
      </c>
      <c r="L28" s="89"/>
      <c r="M28" s="90" t="s">
        <v>49</v>
      </c>
      <c r="N28" s="89"/>
      <c r="O28" s="90" t="s">
        <v>53</v>
      </c>
      <c r="P28" s="89"/>
      <c r="Q28" s="90" t="s">
        <v>53</v>
      </c>
      <c r="R28" s="89"/>
      <c r="S28" s="90" t="s">
        <v>53</v>
      </c>
      <c r="T28" s="89"/>
      <c r="U28" s="90" t="s">
        <v>53</v>
      </c>
      <c r="V28" s="89"/>
      <c r="W28" s="90" t="s">
        <v>53</v>
      </c>
      <c r="AA28" s="164"/>
      <c r="AC28" s="164"/>
    </row>
    <row r="29" spans="2:29" s="129" customFormat="1">
      <c r="B29" s="119" t="s">
        <v>1</v>
      </c>
      <c r="C29" s="120" t="s">
        <v>12</v>
      </c>
      <c r="D29" s="121" t="str">
        <f ca="1">IF(CELL("contents",E$28)&gt;0,INDEX('計算過程(勿更動)'!$E$12:$E$14,'計算過程(勿更動)'!D$4),"")</f>
        <v>kWh/100km</v>
      </c>
      <c r="E29" s="129">
        <v>120.5</v>
      </c>
      <c r="F29" s="121" t="str">
        <f ca="1">IF(CELL("contents",G$28)&gt;0,INDEX('計算過程(勿更動)'!$E$12:$E$14,'計算過程(勿更動)'!E$4),"")</f>
        <v>kWh/100km</v>
      </c>
      <c r="G29" s="129">
        <v>92.5</v>
      </c>
      <c r="H29" s="121" t="str">
        <f ca="1">IF(CELL("contents",I$28)&gt;0,INDEX('計算過程(勿更動)'!$E$12:$E$14,'計算過程(勿更動)'!F$4),"")</f>
        <v>kWh/100km</v>
      </c>
      <c r="I29" s="129">
        <v>69.400000000000006</v>
      </c>
      <c r="J29" s="121" t="str">
        <f ca="1">IF(CELL("contents",V$29)&gt;0,INDEX('計算過程(勿更動)'!$E$12:$E$14,'計算過程(勿更動)'!G$4),"")</f>
        <v>kWh/100km</v>
      </c>
      <c r="K29" s="129">
        <v>97.6</v>
      </c>
      <c r="L29" s="121" t="str">
        <f ca="1">IF(CELL("contents",M$28)&gt;0,INDEX('計算過程(勿更動)'!$E$12:$E$14,'計算過程(勿更動)'!H$4),"")</f>
        <v>l/100km</v>
      </c>
      <c r="M29" s="129">
        <v>40</v>
      </c>
      <c r="N29" s="121" t="str">
        <f ca="1">IF(CELL("contents",O$28)&gt;0,INDEX('計算過程(勿更動)'!$E$12:$E$14,'計算過程(勿更動)'!I$4),"")</f>
        <v>kWh/100km</v>
      </c>
      <c r="P29" s="121" t="str">
        <f ca="1">IF(CELL("contents",Q$28)&gt;0,INDEX('計算過程(勿更動)'!$E$12:$E$14,'計算過程(勿更動)'!J$4),"")</f>
        <v>kWh/100km</v>
      </c>
      <c r="R29" s="121" t="str">
        <f ca="1">IF(CELL("contents",S$28)&gt;0,INDEX('計算過程(勿更動)'!$E$12:$E$14,'計算過程(勿更動)'!K$4),"")</f>
        <v>kWh/100km</v>
      </c>
      <c r="T29" s="121" t="str">
        <f ca="1">IF(CELL("contents",U$28)&gt;0,INDEX('計算過程(勿更動)'!$E$12:$E$14,'計算過程(勿更動)'!L$4),"")</f>
        <v>kWh/100km</v>
      </c>
      <c r="V29" s="121" t="str">
        <f ca="1">IF(CELL("contents",W$28)&gt;0,INDEX('計算過程(勿更動)'!$E$12:$E$14,'計算過程(勿更動)'!M$4),"")</f>
        <v>kWh/100km</v>
      </c>
    </row>
    <row r="30" spans="2:29" s="129" customFormat="1">
      <c r="B30" s="124"/>
      <c r="C30" s="120" t="s">
        <v>13</v>
      </c>
      <c r="D30" s="121" t="str">
        <f ca="1">IF(CELL("contents",E$28)&gt;0,INDEX('計算過程(勿更動)'!$F$12:$F$14,'計算過程(勿更動)'!D$4),"")</f>
        <v>$/kWh</v>
      </c>
      <c r="E30" s="142">
        <v>2.02</v>
      </c>
      <c r="F30" s="121" t="str">
        <f ca="1">IF(CELL("contents",G$28)&gt;0,INDEX('計算過程(勿更動)'!$F$12:$F$14,'計算過程(勿更動)'!E$4),"")</f>
        <v>$/kWh</v>
      </c>
      <c r="G30" s="161">
        <v>2.02</v>
      </c>
      <c r="H30" s="121" t="str">
        <f ca="1">IF(CELL("contents",I$28)&gt;0,INDEX('計算過程(勿更動)'!$F$12:$F$14,'計算過程(勿更動)'!F$4),"")</f>
        <v>$/kWh</v>
      </c>
      <c r="I30" s="129">
        <v>5</v>
      </c>
      <c r="J30" s="121" t="str">
        <f ca="1">IF(CELL("contents",V$29)&gt;0,INDEX('計算過程(勿更動)'!$F$12:$F$14,'計算過程(勿更動)'!G$4),"")</f>
        <v>$/kWh</v>
      </c>
      <c r="K30" s="129">
        <v>2.02</v>
      </c>
      <c r="L30" s="121" t="str">
        <f ca="1">IF(CELL("contents",M$28)&gt;0,INDEX('計算過程(勿更動)'!$F$12:$F$14,'計算過程(勿更動)'!H$4),"")</f>
        <v>$/l</v>
      </c>
      <c r="M30" s="129">
        <v>24.2</v>
      </c>
      <c r="N30" s="121" t="str">
        <f ca="1">IF(CELL("contents",O$28)&gt;0,INDEX('計算過程(勿更動)'!$F$12:$F$14,'計算過程(勿更動)'!I$4),"")</f>
        <v>$/kWh</v>
      </c>
      <c r="P30" s="121" t="str">
        <f ca="1">IF(CELL("contents",Q$28)&gt;0,INDEX('計算過程(勿更動)'!$F$12:$F$14,'計算過程(勿更動)'!J$4),"")</f>
        <v>$/kWh</v>
      </c>
      <c r="R30" s="121" t="str">
        <f ca="1">IF(CELL("contents",S$28)&gt;0,INDEX('計算過程(勿更動)'!$F$12:$F$14,'計算過程(勿更動)'!K$4),"")</f>
        <v>$/kWh</v>
      </c>
      <c r="T30" s="121" t="str">
        <f ca="1">IF(CELL("contents",U$28)&gt;0,INDEX('計算過程(勿更動)'!$F$12:$F$14,'計算過程(勿更動)'!L$4),"")</f>
        <v>$/kWh</v>
      </c>
      <c r="V30" s="121" t="str">
        <f ca="1">IF(CELL("contents",W$28)&gt;0,INDEX('計算過程(勿更動)'!$F$12:$F$14,'計算過程(勿更動)'!M$4),"")</f>
        <v>$/kWh</v>
      </c>
    </row>
    <row r="31" spans="2:29">
      <c r="B31" s="125"/>
      <c r="C31" s="120" t="s">
        <v>161</v>
      </c>
      <c r="D31" s="105" t="s">
        <v>22</v>
      </c>
      <c r="E31" s="84">
        <f>E19</f>
        <v>5800001.7600000007</v>
      </c>
      <c r="F31" s="78" t="s">
        <v>22</v>
      </c>
      <c r="G31" s="87">
        <f>G19</f>
        <v>2880000</v>
      </c>
      <c r="H31" s="78" t="s">
        <v>22</v>
      </c>
      <c r="I31" s="84">
        <f>I19</f>
        <v>1200000.2399999998</v>
      </c>
      <c r="J31" s="78" t="s">
        <v>22</v>
      </c>
      <c r="K31" s="87">
        <f>K19</f>
        <v>2300000.46</v>
      </c>
      <c r="L31" s="78" t="s">
        <v>22</v>
      </c>
      <c r="M31" s="87"/>
      <c r="N31" s="78" t="s">
        <v>22</v>
      </c>
      <c r="O31" s="87"/>
      <c r="P31" s="78" t="s">
        <v>22</v>
      </c>
      <c r="Q31" s="87"/>
      <c r="R31" s="78" t="s">
        <v>22</v>
      </c>
      <c r="S31" s="87"/>
      <c r="T31" s="78" t="s">
        <v>22</v>
      </c>
      <c r="U31" s="87"/>
      <c r="V31" s="78" t="s">
        <v>22</v>
      </c>
      <c r="W31" s="87"/>
    </row>
    <row r="32" spans="2:29">
      <c r="B32" s="125"/>
      <c r="C32" s="120" t="s">
        <v>94</v>
      </c>
      <c r="D32" s="121" t="s">
        <v>5</v>
      </c>
      <c r="E32" s="76">
        <v>8</v>
      </c>
      <c r="F32" s="88" t="s">
        <v>5</v>
      </c>
      <c r="G32" s="76">
        <v>8</v>
      </c>
      <c r="H32" s="88" t="s">
        <v>5</v>
      </c>
      <c r="I32" s="76">
        <v>8</v>
      </c>
      <c r="J32" s="88" t="s">
        <v>5</v>
      </c>
      <c r="K32" s="76">
        <v>8</v>
      </c>
      <c r="L32" s="88" t="s">
        <v>5</v>
      </c>
      <c r="N32" s="88" t="s">
        <v>5</v>
      </c>
      <c r="P32" s="88" t="s">
        <v>5</v>
      </c>
      <c r="R32" s="88" t="s">
        <v>5</v>
      </c>
      <c r="T32" s="88" t="s">
        <v>5</v>
      </c>
      <c r="V32" s="88" t="s">
        <v>5</v>
      </c>
    </row>
    <row r="33" spans="2:23">
      <c r="B33" s="126"/>
      <c r="C33" s="127" t="s">
        <v>27</v>
      </c>
      <c r="D33" s="105" t="s">
        <v>23</v>
      </c>
      <c r="E33" s="86"/>
      <c r="F33" s="78" t="s">
        <v>23</v>
      </c>
      <c r="G33" s="86"/>
      <c r="H33" s="78" t="s">
        <v>23</v>
      </c>
      <c r="I33" s="86"/>
      <c r="J33" s="78" t="s">
        <v>23</v>
      </c>
      <c r="K33" s="86"/>
      <c r="L33" s="78" t="s">
        <v>23</v>
      </c>
      <c r="M33" s="86"/>
      <c r="N33" s="78" t="s">
        <v>23</v>
      </c>
      <c r="O33" s="86"/>
      <c r="P33" s="78" t="s">
        <v>23</v>
      </c>
      <c r="Q33" s="86"/>
      <c r="R33" s="78" t="s">
        <v>23</v>
      </c>
      <c r="S33" s="86"/>
      <c r="T33" s="78" t="s">
        <v>23</v>
      </c>
      <c r="U33" s="86"/>
      <c r="V33" s="78" t="s">
        <v>23</v>
      </c>
      <c r="W33" s="86"/>
    </row>
    <row r="34" spans="2:23" s="129" customFormat="1">
      <c r="B34" s="116"/>
      <c r="C34" s="117" t="str">
        <f>B26</f>
        <v>運行成本</v>
      </c>
      <c r="D34" s="118"/>
      <c r="E34" s="99">
        <f>-PV($E$7*0.01,$E$6,E33)+'計算過程(勿更動)'!D8</f>
        <v>735778.12255871657</v>
      </c>
      <c r="F34" s="118"/>
      <c r="G34" s="99">
        <f>-PV($E$7*0.01,$E$6,G33)+'計算過程(勿更動)'!E8</f>
        <v>564808.93225461652</v>
      </c>
      <c r="H34" s="118"/>
      <c r="I34" s="99">
        <f>-PV($E$7*0.01,$E$6,I33)+'計算過程(勿更動)'!F8</f>
        <v>1317147.4921783113</v>
      </c>
      <c r="J34" s="118"/>
      <c r="K34" s="99">
        <f>-PV($E$7*0.01,$E$6,K33)+'計算過程(勿更動)'!G8</f>
        <v>748352.34114679671</v>
      </c>
      <c r="L34" s="118"/>
      <c r="M34" s="99">
        <f>-PV($E$7*0.01,$E$6,M33)+'計算過程(勿更動)'!H8</f>
        <v>3196450.050218605</v>
      </c>
      <c r="N34" s="118"/>
      <c r="O34" s="99">
        <f>-PV($E$7*0.01,$E$6,O33)+'計算過程(勿更動)'!I8</f>
        <v>0</v>
      </c>
      <c r="P34" s="118"/>
      <c r="Q34" s="139">
        <f>-PV($E$7*0.01,$E$6,Q33)+'計算過程(勿更動)'!J8</f>
        <v>0</v>
      </c>
      <c r="R34" s="118"/>
      <c r="S34" s="139">
        <f>-PV($E$7*0.01,$E$6,S33)+'計算過程(勿更動)'!K8</f>
        <v>0</v>
      </c>
      <c r="T34" s="118"/>
      <c r="U34" s="139">
        <f>-PV($E$7*0.01,$E$6,U33)+'計算過程(勿更動)'!L8</f>
        <v>0</v>
      </c>
      <c r="V34" s="118"/>
      <c r="W34" s="139">
        <f>-PV($E$7*0.01,$E$6,W33)+'計算過程(勿更動)'!M8</f>
        <v>0</v>
      </c>
    </row>
    <row r="35" spans="2:23">
      <c r="B35" s="107"/>
      <c r="C35" s="108"/>
      <c r="D35" s="109"/>
    </row>
    <row r="36" spans="2:23">
      <c r="B36" s="100" t="s">
        <v>108</v>
      </c>
      <c r="C36" s="101"/>
      <c r="D36" s="102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</row>
    <row r="37" spans="2:23">
      <c r="B37" s="103"/>
      <c r="C37" s="104" t="s">
        <v>193</v>
      </c>
      <c r="D37" s="105" t="s">
        <v>192</v>
      </c>
      <c r="E37" s="76">
        <v>0.43</v>
      </c>
      <c r="F37" s="105" t="s">
        <v>192</v>
      </c>
      <c r="G37" s="76">
        <v>0.43</v>
      </c>
      <c r="H37" s="105" t="s">
        <v>192</v>
      </c>
      <c r="I37" s="76">
        <v>0.43</v>
      </c>
      <c r="J37" s="105" t="s">
        <v>192</v>
      </c>
      <c r="K37" s="76">
        <v>0.43</v>
      </c>
      <c r="L37" s="105" t="s">
        <v>192</v>
      </c>
      <c r="M37" s="76">
        <v>0.82</v>
      </c>
      <c r="N37" s="105" t="s">
        <v>192</v>
      </c>
      <c r="P37" s="105" t="s">
        <v>192</v>
      </c>
      <c r="R37" s="105" t="s">
        <v>192</v>
      </c>
      <c r="T37" s="105" t="s">
        <v>192</v>
      </c>
      <c r="V37" s="105" t="s">
        <v>192</v>
      </c>
    </row>
    <row r="38" spans="2:23">
      <c r="B38" s="103"/>
      <c r="C38" s="104" t="s">
        <v>195</v>
      </c>
      <c r="D38" s="105"/>
      <c r="E38" s="90" t="s">
        <v>194</v>
      </c>
      <c r="F38" s="105"/>
      <c r="G38" s="90" t="s">
        <v>194</v>
      </c>
      <c r="H38" s="105"/>
      <c r="I38" s="90" t="s">
        <v>194</v>
      </c>
      <c r="J38" s="105"/>
      <c r="K38" s="90" t="s">
        <v>194</v>
      </c>
      <c r="L38" s="105"/>
      <c r="M38" s="90" t="s">
        <v>194</v>
      </c>
      <c r="N38" s="105"/>
      <c r="O38" s="90" t="s">
        <v>194</v>
      </c>
      <c r="P38" s="105"/>
      <c r="Q38" s="90" t="s">
        <v>194</v>
      </c>
      <c r="R38" s="105"/>
      <c r="S38" s="90" t="s">
        <v>194</v>
      </c>
      <c r="T38" s="105"/>
      <c r="U38" s="90" t="s">
        <v>194</v>
      </c>
      <c r="V38" s="105"/>
      <c r="W38" s="90" t="s">
        <v>194</v>
      </c>
    </row>
    <row r="39" spans="2:23">
      <c r="B39" s="103" t="s">
        <v>1</v>
      </c>
      <c r="C39" s="104" t="s">
        <v>14</v>
      </c>
      <c r="D39" s="105" t="s">
        <v>23</v>
      </c>
      <c r="E39" s="170">
        <f>IF(E38='計算過程(勿更動)'!$B$56,E27*E37,0)</f>
        <v>0</v>
      </c>
      <c r="F39" s="105" t="s">
        <v>23</v>
      </c>
      <c r="G39" s="170">
        <f>IF(G38='計算過程(勿更動)'!$B$56,G27*G37,0)</f>
        <v>0</v>
      </c>
      <c r="H39" s="105" t="s">
        <v>23</v>
      </c>
      <c r="I39" s="170">
        <f>IF(I38='計算過程(勿更動)'!$B$56,I27*I37,0)</f>
        <v>0</v>
      </c>
      <c r="J39" s="105" t="s">
        <v>23</v>
      </c>
      <c r="K39" s="170">
        <f>IF(K38='計算過程(勿更動)'!$B$56,K27*K37,0)</f>
        <v>0</v>
      </c>
      <c r="L39" s="105" t="s">
        <v>23</v>
      </c>
      <c r="M39" s="170">
        <f>IF(M38='計算過程(勿更動)'!$B$56,M27*M37,0)</f>
        <v>0</v>
      </c>
      <c r="N39" s="105" t="s">
        <v>23</v>
      </c>
      <c r="O39" s="170">
        <f>IF(O38='計算過程(勿更動)'!$B$56,O27*O37,0)</f>
        <v>0</v>
      </c>
      <c r="P39" s="105" t="s">
        <v>23</v>
      </c>
      <c r="Q39" s="170">
        <f>IF(Q38='計算過程(勿更動)'!$B$56,Q27*Q37,0)</f>
        <v>0</v>
      </c>
      <c r="R39" s="105" t="s">
        <v>23</v>
      </c>
      <c r="S39" s="170">
        <f>IF(S38='計算過程(勿更動)'!$B$56,S27*S37,0)</f>
        <v>0</v>
      </c>
      <c r="T39" s="105" t="s">
        <v>23</v>
      </c>
      <c r="U39" s="170">
        <f>IF(U38='計算過程(勿更動)'!$B$56,U27*U37,0)</f>
        <v>0</v>
      </c>
      <c r="V39" s="105" t="s">
        <v>23</v>
      </c>
      <c r="W39" s="170">
        <f>IF(W38='計算過程(勿更動)'!$B$56,W27*W37,0)</f>
        <v>0</v>
      </c>
    </row>
    <row r="40" spans="2:23">
      <c r="B40" s="103" t="s">
        <v>1</v>
      </c>
      <c r="C40" s="104" t="s">
        <v>15</v>
      </c>
      <c r="D40" s="105" t="s">
        <v>23</v>
      </c>
      <c r="E40" s="170">
        <f>IF(E38='計算過程(勿更動)'!$B$55,E27*E37,0)</f>
        <v>17916.810000000001</v>
      </c>
      <c r="F40" s="105" t="s">
        <v>23</v>
      </c>
      <c r="G40" s="170">
        <f>IF(G38='計算過程(勿更動)'!$B$55,G27*G37,0)</f>
        <v>17916.810000000001</v>
      </c>
      <c r="H40" s="105" t="s">
        <v>23</v>
      </c>
      <c r="I40" s="170">
        <f>IF(I38='計算過程(勿更動)'!$B$55,I27*I37,0)</f>
        <v>17916.810000000001</v>
      </c>
      <c r="J40" s="105" t="s">
        <v>23</v>
      </c>
      <c r="K40" s="170">
        <f>IF(K38='計算過程(勿更動)'!$B$55,K27*K37,0)</f>
        <v>17916.810000000001</v>
      </c>
      <c r="L40" s="105" t="s">
        <v>23</v>
      </c>
      <c r="M40" s="170">
        <f>IF(M38='計算過程(勿更動)'!$B$55,M27*M37,0)</f>
        <v>34166.939999999995</v>
      </c>
      <c r="N40" s="105" t="s">
        <v>23</v>
      </c>
      <c r="O40" s="170">
        <f>IF(O38='計算過程(勿更動)'!$B$55,O27*O37,0)</f>
        <v>0</v>
      </c>
      <c r="P40" s="105" t="s">
        <v>23</v>
      </c>
      <c r="Q40" s="170">
        <f>IF(Q38='計算過程(勿更動)'!$B$55,Q27*Q37,0)</f>
        <v>0</v>
      </c>
      <c r="R40" s="105" t="s">
        <v>23</v>
      </c>
      <c r="S40" s="170">
        <f>IF(S38='計算過程(勿更動)'!$B$55,S27*S37,0)</f>
        <v>0</v>
      </c>
      <c r="T40" s="105" t="s">
        <v>23</v>
      </c>
      <c r="U40" s="170">
        <f>IF(U38='計算過程(勿更動)'!$B$55,U27*U37,0)</f>
        <v>0</v>
      </c>
      <c r="V40" s="105" t="s">
        <v>23</v>
      </c>
      <c r="W40" s="170">
        <f>IF(W38='計算過程(勿更動)'!$B$55,W27*W37,0)</f>
        <v>0</v>
      </c>
    </row>
    <row r="41" spans="2:23" s="129" customFormat="1">
      <c r="B41" s="116"/>
      <c r="C41" s="117" t="str">
        <f>B36</f>
        <v>保養服務成本</v>
      </c>
      <c r="D41" s="118"/>
      <c r="E41" s="98">
        <f>-PV($E$7*0.01,$E$6,E39)-PV($E$7*0.01,$E$6,E40,,1)</f>
        <v>131677.63493620176</v>
      </c>
      <c r="F41" s="118"/>
      <c r="G41" s="98">
        <f>-PV($E$7*0.01,$E$6,G39)-PV($E$7*0.01,$E$6,G40,,1)</f>
        <v>131677.63493620176</v>
      </c>
      <c r="H41" s="118"/>
      <c r="I41" s="98">
        <f>-PV($E$7*0.01,$E$6,I39)-PV($E$7*0.01,$E$6,I40,,1)</f>
        <v>131677.63493620176</v>
      </c>
      <c r="J41" s="118"/>
      <c r="K41" s="98">
        <f>-PV($E$7*0.01,$E$6,K39)-PV($E$7*0.01,$E$6,K40,,1)</f>
        <v>131677.63493620176</v>
      </c>
      <c r="L41" s="118"/>
      <c r="M41" s="98">
        <f>-PV($E$7*0.01,$E$6,M39)-PV($E$7*0.01,$E$6,M40,,1)</f>
        <v>251106.1875527568</v>
      </c>
      <c r="N41" s="118"/>
      <c r="O41" s="98">
        <f>-PV($E$7*0.01,$E$6,O39)-PV($E$7*0.01,$E$6,O40,,1)</f>
        <v>0</v>
      </c>
      <c r="P41" s="118"/>
      <c r="Q41" s="98">
        <f>-PV($E$7*0.01,$E$6,Q39)-PV($E$7*0.01,$E$6,Q40,,1)</f>
        <v>0</v>
      </c>
      <c r="R41" s="118"/>
      <c r="S41" s="98">
        <f>-PV($E$7*0.01,$E$6,S39)-PV($E$7*0.01,$E$6,S40,,1)</f>
        <v>0</v>
      </c>
      <c r="T41" s="118"/>
      <c r="U41" s="98">
        <f>-PV($E$7*0.01,$E$6,U39)-PV($E$7*0.01,$E$6,U40,,1)</f>
        <v>0</v>
      </c>
      <c r="V41" s="118"/>
      <c r="W41" s="98">
        <f>-PV($E$7*0.01,$E$6,W39)-PV($E$7*0.01,$E$6,W40,,1)</f>
        <v>0</v>
      </c>
    </row>
    <row r="42" spans="2:23">
      <c r="B42" s="107"/>
      <c r="C42" s="108"/>
      <c r="D42" s="109"/>
    </row>
    <row r="43" spans="2:23">
      <c r="B43" s="100" t="s">
        <v>109</v>
      </c>
      <c r="C43" s="101"/>
      <c r="D43" s="102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</row>
    <row r="44" spans="2:23">
      <c r="B44" s="119" t="s">
        <v>1</v>
      </c>
      <c r="C44" s="122" t="s">
        <v>16</v>
      </c>
      <c r="D44" s="105" t="s">
        <v>23</v>
      </c>
      <c r="E44" s="87">
        <v>0</v>
      </c>
      <c r="F44" s="78" t="s">
        <v>23</v>
      </c>
      <c r="G44" s="87">
        <v>0</v>
      </c>
      <c r="H44" s="78" t="s">
        <v>23</v>
      </c>
      <c r="I44" s="87">
        <v>0</v>
      </c>
      <c r="J44" s="78" t="s">
        <v>23</v>
      </c>
      <c r="K44" s="87">
        <v>0</v>
      </c>
      <c r="L44" s="78" t="s">
        <v>23</v>
      </c>
      <c r="M44" s="87">
        <v>0</v>
      </c>
      <c r="N44" s="78" t="s">
        <v>23</v>
      </c>
      <c r="O44" s="87">
        <v>0</v>
      </c>
      <c r="P44" s="78" t="s">
        <v>23</v>
      </c>
      <c r="Q44" s="87">
        <v>0</v>
      </c>
      <c r="R44" s="78" t="s">
        <v>23</v>
      </c>
      <c r="S44" s="87">
        <v>0</v>
      </c>
      <c r="T44" s="78" t="s">
        <v>23</v>
      </c>
      <c r="U44" s="87">
        <v>0</v>
      </c>
      <c r="V44" s="78" t="s">
        <v>23</v>
      </c>
      <c r="W44" s="87">
        <v>0</v>
      </c>
    </row>
    <row r="45" spans="2:23">
      <c r="B45" s="151"/>
      <c r="C45" s="152" t="s">
        <v>168</v>
      </c>
      <c r="D45" s="153" t="s">
        <v>25</v>
      </c>
      <c r="E45" s="87">
        <v>0</v>
      </c>
      <c r="F45" s="153" t="s">
        <v>25</v>
      </c>
      <c r="G45" s="87">
        <v>0</v>
      </c>
      <c r="H45" s="153" t="s">
        <v>25</v>
      </c>
      <c r="I45" s="87">
        <v>0</v>
      </c>
      <c r="J45" s="153" t="s">
        <v>25</v>
      </c>
      <c r="K45" s="87">
        <v>0</v>
      </c>
      <c r="L45" s="153" t="s">
        <v>25</v>
      </c>
      <c r="M45" s="87">
        <v>0</v>
      </c>
      <c r="N45" s="153" t="s">
        <v>25</v>
      </c>
      <c r="O45" s="87">
        <v>0</v>
      </c>
      <c r="P45" s="153" t="s">
        <v>25</v>
      </c>
      <c r="Q45" s="87">
        <v>0</v>
      </c>
      <c r="R45" s="153" t="s">
        <v>25</v>
      </c>
      <c r="S45" s="87">
        <v>0</v>
      </c>
      <c r="T45" s="153" t="s">
        <v>25</v>
      </c>
      <c r="U45" s="87">
        <v>0</v>
      </c>
      <c r="V45" s="153" t="s">
        <v>25</v>
      </c>
      <c r="W45" s="87">
        <v>0</v>
      </c>
    </row>
    <row r="46" spans="2:23">
      <c r="B46" s="124"/>
      <c r="C46" s="122" t="s">
        <v>17</v>
      </c>
      <c r="D46" s="105" t="s">
        <v>23</v>
      </c>
      <c r="E46" s="84">
        <v>10000</v>
      </c>
      <c r="F46" s="78" t="s">
        <v>23</v>
      </c>
      <c r="G46" s="84">
        <v>10000</v>
      </c>
      <c r="H46" s="78" t="s">
        <v>23</v>
      </c>
      <c r="I46" s="84">
        <v>10000</v>
      </c>
      <c r="J46" s="78" t="s">
        <v>23</v>
      </c>
      <c r="K46" s="84">
        <v>10000</v>
      </c>
      <c r="L46" s="78" t="s">
        <v>23</v>
      </c>
      <c r="M46" s="76">
        <v>10000</v>
      </c>
      <c r="N46" s="78" t="s">
        <v>23</v>
      </c>
      <c r="P46" s="78" t="s">
        <v>23</v>
      </c>
      <c r="R46" s="78" t="s">
        <v>23</v>
      </c>
      <c r="T46" s="78" t="s">
        <v>23</v>
      </c>
      <c r="V46" s="78" t="s">
        <v>23</v>
      </c>
    </row>
    <row r="47" spans="2:23">
      <c r="B47" s="124"/>
      <c r="C47" s="122" t="s">
        <v>122</v>
      </c>
      <c r="D47" s="105"/>
      <c r="E47" s="84">
        <f>補助政策!$D$11</f>
        <v>3209698.2101458693</v>
      </c>
      <c r="F47" s="78"/>
      <c r="G47" s="84">
        <f>補助政策!$D$11</f>
        <v>3209698.2101458693</v>
      </c>
      <c r="H47" s="78"/>
      <c r="I47" s="84">
        <f>補助政策!$D$11</f>
        <v>3209698.2101458693</v>
      </c>
      <c r="J47" s="78"/>
      <c r="K47" s="84">
        <f>補助政策!$D$11</f>
        <v>3209698.2101458693</v>
      </c>
      <c r="L47" s="78"/>
      <c r="N47" s="78"/>
      <c r="O47" s="84"/>
      <c r="P47" s="78"/>
      <c r="Q47" s="84"/>
      <c r="R47" s="78"/>
      <c r="S47" s="84"/>
      <c r="T47" s="78"/>
      <c r="U47" s="84"/>
      <c r="V47" s="78"/>
      <c r="W47" s="84"/>
    </row>
    <row r="48" spans="2:23">
      <c r="B48" s="124"/>
      <c r="C48" s="122" t="s">
        <v>121</v>
      </c>
      <c r="D48" s="105"/>
      <c r="E48" s="84">
        <f>E27*5</f>
        <v>208335</v>
      </c>
      <c r="F48" s="78"/>
      <c r="G48" s="84">
        <f>G27*5</f>
        <v>208335</v>
      </c>
      <c r="H48" s="78"/>
      <c r="I48" s="84">
        <f>I27*5</f>
        <v>208335</v>
      </c>
      <c r="J48" s="78"/>
      <c r="K48" s="84">
        <f>K27*5</f>
        <v>208335</v>
      </c>
      <c r="L48" s="78"/>
      <c r="N48" s="78"/>
      <c r="O48" s="84">
        <f>O27*5</f>
        <v>0</v>
      </c>
      <c r="P48" s="78"/>
      <c r="Q48" s="84">
        <f>Q27*5</f>
        <v>0</v>
      </c>
      <c r="R48" s="78"/>
      <c r="S48" s="84">
        <f>S27*5</f>
        <v>0</v>
      </c>
      <c r="T48" s="78"/>
      <c r="U48" s="84">
        <f>U27*5</f>
        <v>0</v>
      </c>
      <c r="V48" s="78"/>
      <c r="W48" s="84">
        <f>W27*5</f>
        <v>0</v>
      </c>
    </row>
    <row r="49" spans="2:23">
      <c r="B49" s="119" t="s">
        <v>1</v>
      </c>
      <c r="C49" s="141" t="s">
        <v>162</v>
      </c>
      <c r="D49" s="105"/>
      <c r="E49" s="79"/>
      <c r="F49" s="78"/>
      <c r="G49" s="79"/>
      <c r="H49" s="78"/>
      <c r="I49" s="79"/>
      <c r="J49" s="78"/>
      <c r="K49" s="79"/>
      <c r="L49" s="78"/>
      <c r="M49" s="79"/>
      <c r="N49" s="78"/>
      <c r="O49" s="79"/>
      <c r="P49" s="78"/>
      <c r="Q49" s="79"/>
      <c r="R49" s="78"/>
      <c r="S49" s="79"/>
      <c r="T49" s="78"/>
      <c r="U49" s="79"/>
      <c r="V49" s="78"/>
      <c r="W49" s="79"/>
    </row>
    <row r="50" spans="2:23" hidden="1" outlineLevel="1">
      <c r="B50" s="125"/>
      <c r="C50" s="128" t="s">
        <v>110</v>
      </c>
      <c r="D50" s="105" t="s">
        <v>24</v>
      </c>
      <c r="F50" s="78" t="s">
        <v>24</v>
      </c>
      <c r="H50" s="78" t="s">
        <v>24</v>
      </c>
      <c r="J50" s="78" t="s">
        <v>24</v>
      </c>
      <c r="L50" s="78" t="s">
        <v>24</v>
      </c>
      <c r="N50" s="78" t="s">
        <v>24</v>
      </c>
      <c r="P50" s="78" t="s">
        <v>24</v>
      </c>
      <c r="R50" s="78" t="s">
        <v>24</v>
      </c>
      <c r="T50" s="78" t="s">
        <v>24</v>
      </c>
      <c r="V50" s="78" t="s">
        <v>24</v>
      </c>
    </row>
    <row r="51" spans="2:23" hidden="1" outlineLevel="1">
      <c r="B51" s="125"/>
      <c r="C51" s="128" t="s">
        <v>111</v>
      </c>
      <c r="D51" s="105" t="s">
        <v>24</v>
      </c>
      <c r="F51" s="78" t="s">
        <v>24</v>
      </c>
      <c r="H51" s="78" t="s">
        <v>24</v>
      </c>
      <c r="J51" s="78" t="s">
        <v>24</v>
      </c>
      <c r="L51" s="78" t="s">
        <v>24</v>
      </c>
      <c r="N51" s="78" t="s">
        <v>24</v>
      </c>
      <c r="P51" s="78" t="s">
        <v>24</v>
      </c>
      <c r="R51" s="78" t="s">
        <v>24</v>
      </c>
      <c r="T51" s="78" t="s">
        <v>24</v>
      </c>
      <c r="V51" s="78" t="s">
        <v>24</v>
      </c>
    </row>
    <row r="52" spans="2:23" hidden="1" outlineLevel="1">
      <c r="B52" s="125"/>
      <c r="C52" s="128" t="s">
        <v>112</v>
      </c>
      <c r="D52" s="105" t="s">
        <v>25</v>
      </c>
      <c r="F52" s="78" t="s">
        <v>25</v>
      </c>
      <c r="H52" s="78" t="s">
        <v>25</v>
      </c>
      <c r="J52" s="78" t="s">
        <v>25</v>
      </c>
      <c r="L52" s="78" t="s">
        <v>25</v>
      </c>
      <c r="N52" s="78" t="s">
        <v>25</v>
      </c>
      <c r="P52" s="78" t="s">
        <v>25</v>
      </c>
      <c r="R52" s="78" t="s">
        <v>25</v>
      </c>
      <c r="T52" s="78" t="s">
        <v>25</v>
      </c>
      <c r="V52" s="78" t="s">
        <v>25</v>
      </c>
    </row>
    <row r="53" spans="2:23" hidden="1" outlineLevel="1">
      <c r="B53" s="125"/>
      <c r="C53" s="128" t="s">
        <v>113</v>
      </c>
      <c r="D53" s="105" t="s">
        <v>25</v>
      </c>
      <c r="F53" s="78" t="s">
        <v>25</v>
      </c>
      <c r="H53" s="78" t="s">
        <v>25</v>
      </c>
      <c r="J53" s="78" t="s">
        <v>25</v>
      </c>
      <c r="L53" s="78" t="s">
        <v>25</v>
      </c>
      <c r="N53" s="78" t="s">
        <v>25</v>
      </c>
      <c r="P53" s="78" t="s">
        <v>25</v>
      </c>
      <c r="R53" s="78" t="s">
        <v>25</v>
      </c>
      <c r="T53" s="78" t="s">
        <v>25</v>
      </c>
      <c r="V53" s="78" t="s">
        <v>25</v>
      </c>
    </row>
    <row r="54" spans="2:23" hidden="1" outlineLevel="1">
      <c r="B54" s="125"/>
      <c r="C54" s="128" t="s">
        <v>114</v>
      </c>
      <c r="D54" s="105" t="s">
        <v>25</v>
      </c>
      <c r="F54" s="78" t="s">
        <v>25</v>
      </c>
      <c r="H54" s="78" t="s">
        <v>25</v>
      </c>
      <c r="J54" s="78" t="s">
        <v>25</v>
      </c>
      <c r="L54" s="78" t="s">
        <v>25</v>
      </c>
      <c r="N54" s="78" t="s">
        <v>25</v>
      </c>
      <c r="P54" s="78" t="s">
        <v>25</v>
      </c>
      <c r="R54" s="78" t="s">
        <v>25</v>
      </c>
      <c r="T54" s="78" t="s">
        <v>25</v>
      </c>
      <c r="V54" s="78" t="s">
        <v>25</v>
      </c>
    </row>
    <row r="55" spans="2:23" hidden="1" outlineLevel="1">
      <c r="B55" s="125"/>
      <c r="C55" s="128" t="s">
        <v>115</v>
      </c>
      <c r="D55" s="105" t="s">
        <v>25</v>
      </c>
      <c r="F55" s="78" t="s">
        <v>25</v>
      </c>
      <c r="H55" s="78" t="s">
        <v>25</v>
      </c>
      <c r="J55" s="78" t="s">
        <v>25</v>
      </c>
      <c r="L55" s="78" t="s">
        <v>25</v>
      </c>
      <c r="N55" s="78" t="s">
        <v>25</v>
      </c>
      <c r="P55" s="78" t="s">
        <v>25</v>
      </c>
      <c r="R55" s="78" t="s">
        <v>25</v>
      </c>
      <c r="T55" s="78" t="s">
        <v>25</v>
      </c>
      <c r="V55" s="78" t="s">
        <v>25</v>
      </c>
    </row>
    <row r="56" spans="2:23" s="129" customFormat="1" collapsed="1">
      <c r="B56" s="116"/>
      <c r="C56" s="117" t="str">
        <f>B43</f>
        <v>課稅、補助與其他成本</v>
      </c>
      <c r="D56" s="118"/>
      <c r="E56" s="99">
        <f>-PV($E$7*0.01,$E$6,(E44+E50+E51-E48-E54))-PV($E$7*0.01,$E$6,E46,,1)+E45-E47+E52+E53-E55</f>
        <v>-4629994.8309654174</v>
      </c>
      <c r="F56" s="118"/>
      <c r="G56" s="99">
        <f>-PV($E$7*0.01,$E$6,(G44+G50+G51-G48-G54))-PV($E$7*0.01,$E$6,G46,,1)+G45-G47+G52+G53-G55</f>
        <v>-4629994.8309654174</v>
      </c>
      <c r="H56" s="118"/>
      <c r="I56" s="99">
        <f>-PV($E$7*0.01,$E$6,(I44+I50+I51-I48-I54))-PV($E$7*0.01,$E$6,I46,,1)+I45-I47+I52+I53-I55</f>
        <v>-4629994.8309654174</v>
      </c>
      <c r="J56" s="140"/>
      <c r="K56" s="99">
        <f>-PV($E$7*0.01,$E$6,(K44+K50+K51-K48-K54))-PV($E$7*0.01,$E$6,K46,,1)+K45-K47+K52+K53-K55</f>
        <v>-4629994.8309654174</v>
      </c>
      <c r="L56" s="118"/>
      <c r="M56" s="99">
        <f>-PV($E$7*0.01,$E$6,(M44+M50+M51-M48-M54))-PV($E$7*0.01,$E$6,M46,,1)+M45-M47+M52+M53-M55</f>
        <v>73493.905966632316</v>
      </c>
      <c r="N56" s="118"/>
      <c r="O56" s="99">
        <f>-PV($E$7*0.01,$E$6,(O44+O50+O51-O48-O54))-PV($E$7*0.01,$E$6,O46,,1)+O45-O47+O52+O53-O55</f>
        <v>0</v>
      </c>
      <c r="P56" s="118"/>
      <c r="Q56" s="99">
        <f>-PV($E$7*0.01,$E$6,(Q44+Q50+Q51-Q48-Q54))-PV($E$7*0.01,$E$6,Q46,,1)+Q45-Q47+Q52+Q53-Q55</f>
        <v>0</v>
      </c>
      <c r="R56" s="118"/>
      <c r="S56" s="99">
        <f>-PV($E$7*0.01,$E$6,(S44+S50+S51-S48-S54))-PV($E$7*0.01,$E$6,S46,,1)+S45-S47+S52+S53-S55</f>
        <v>0</v>
      </c>
      <c r="T56" s="118"/>
      <c r="U56" s="99">
        <f>-PV($E$7*0.01,$E$6,(U44+U50+U51-U48-U54))-PV($E$7*0.01,$E$6,U46,,1)+U45-U47+U52+U53-U55</f>
        <v>0</v>
      </c>
      <c r="V56" s="118"/>
      <c r="W56" s="99">
        <f>-PV($E$7*0.01,$E$6,(W44+W50+W51-W48-W54))-PV($E$7*0.01,$E$6,W46,,1)+W45-W47+W52+W53-W55</f>
        <v>0</v>
      </c>
    </row>
    <row r="57" spans="2:23">
      <c r="B57" s="129"/>
      <c r="C57" s="130"/>
      <c r="D57" s="131"/>
      <c r="M57" s="91"/>
    </row>
    <row r="58" spans="2:23">
      <c r="B58" s="100" t="s">
        <v>131</v>
      </c>
      <c r="C58" s="101"/>
      <c r="D58" s="102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2:23">
      <c r="B59" s="129"/>
      <c r="C59" s="130"/>
      <c r="D59" s="131"/>
      <c r="M59" s="91"/>
    </row>
    <row r="60" spans="2:23">
      <c r="B60" s="129"/>
      <c r="C60" s="130"/>
      <c r="D60" s="131"/>
      <c r="M60" s="91"/>
    </row>
    <row r="61" spans="2:23">
      <c r="B61" s="129"/>
      <c r="C61" s="130"/>
      <c r="D61" s="131"/>
      <c r="M61" s="91"/>
    </row>
    <row r="62" spans="2:23">
      <c r="B62" s="129"/>
      <c r="C62" s="130"/>
      <c r="D62" s="131"/>
    </row>
    <row r="63" spans="2:23">
      <c r="B63" s="100" t="s">
        <v>18</v>
      </c>
      <c r="C63" s="101"/>
      <c r="D63" s="102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</row>
    <row r="64" spans="2:23">
      <c r="B64" s="119" t="s">
        <v>1</v>
      </c>
      <c r="C64" s="132" t="s">
        <v>19</v>
      </c>
      <c r="D64" s="133" t="s">
        <v>20</v>
      </c>
      <c r="E64" s="76">
        <v>0</v>
      </c>
      <c r="F64" s="95" t="s">
        <v>20</v>
      </c>
      <c r="G64" s="76">
        <v>0</v>
      </c>
      <c r="H64" s="95" t="s">
        <v>20</v>
      </c>
      <c r="I64" s="76">
        <v>0</v>
      </c>
      <c r="J64" s="95" t="s">
        <v>20</v>
      </c>
      <c r="K64" s="76">
        <v>0</v>
      </c>
      <c r="L64" s="95" t="s">
        <v>20</v>
      </c>
      <c r="M64" s="76">
        <v>0</v>
      </c>
      <c r="N64" s="95" t="s">
        <v>20</v>
      </c>
      <c r="O64" s="76">
        <v>0</v>
      </c>
      <c r="P64" s="95" t="s">
        <v>20</v>
      </c>
      <c r="R64" s="95" t="s">
        <v>20</v>
      </c>
      <c r="T64" s="95" t="s">
        <v>20</v>
      </c>
      <c r="V64" s="95" t="s">
        <v>20</v>
      </c>
    </row>
    <row r="65" spans="2:23" s="129" customFormat="1">
      <c r="B65" s="116"/>
      <c r="C65" s="117" t="str">
        <f>B63</f>
        <v>回收價格</v>
      </c>
      <c r="D65" s="118"/>
      <c r="E65" s="99">
        <f>E64/(1+$E$7*0.01)^($E$6+1)</f>
        <v>0</v>
      </c>
      <c r="F65" s="118"/>
      <c r="G65" s="99">
        <f>G64/(1+$E$7*0.01)^($E$6+1)</f>
        <v>0</v>
      </c>
      <c r="H65" s="118"/>
      <c r="I65" s="99">
        <f>I64/(1+$E$7*0.01)^($E$6+1)</f>
        <v>0</v>
      </c>
      <c r="J65" s="118"/>
      <c r="K65" s="99">
        <f>K64/(1+$E$7*0.01)^($E$6+1)</f>
        <v>0</v>
      </c>
      <c r="L65" s="118"/>
      <c r="M65" s="99">
        <f>M64/(1+$E$7*0.01)^($E$6+1)</f>
        <v>0</v>
      </c>
      <c r="N65" s="118"/>
      <c r="O65" s="99">
        <f>O64/(1+$E$7*0.01)^($E$6+1)</f>
        <v>0</v>
      </c>
      <c r="P65" s="118"/>
      <c r="Q65" s="99">
        <f>Q64/(1+$E$7*0.01)^($E$6+1)</f>
        <v>0</v>
      </c>
      <c r="R65" s="118"/>
      <c r="S65" s="99">
        <f>S64/(1+$E$7*0.01)^($E$6+1)</f>
        <v>0</v>
      </c>
      <c r="T65" s="118"/>
      <c r="U65" s="99">
        <f>U64/(1+$E$7*0.01)^($E$6+1)</f>
        <v>0</v>
      </c>
      <c r="V65" s="118"/>
      <c r="W65" s="99">
        <f>W64/(1+$E$7*0.01)^($E$6+1)</f>
        <v>0</v>
      </c>
    </row>
    <row r="66" spans="2:23">
      <c r="B66" s="134"/>
      <c r="C66" s="135"/>
      <c r="D66" s="109"/>
    </row>
    <row r="67" spans="2:23">
      <c r="B67" s="136"/>
      <c r="C67" s="137" t="s">
        <v>172</v>
      </c>
      <c r="D67" s="138"/>
      <c r="E67" s="99">
        <f ca="1">IF(E24&gt;0,E24+E34+E41-PV($E$7*0.01,$E$6,E46,,1),"NA")</f>
        <v>14592618.090128219</v>
      </c>
      <c r="F67" s="138"/>
      <c r="G67" s="99">
        <f ca="1">IF(G24&gt;0,G24+G34+G41-PV($E$7*0.01,$E$6,G46,,1),"NA")</f>
        <v>10119980.473157451</v>
      </c>
      <c r="H67" s="138"/>
      <c r="I67" s="99">
        <f ca="1">IF(I24&gt;0,I24+I34+I41-PV($E$7*0.01,$E$6,I46,,1),"NA")</f>
        <v>9172319.2730811462</v>
      </c>
      <c r="J67" s="138"/>
      <c r="K67" s="99">
        <f ca="1">IF(K24&gt;0,K24+K34+K41-PV($E$7*0.01,$E$6,K46,,1),"NA")</f>
        <v>10311857.675382966</v>
      </c>
      <c r="L67" s="138"/>
      <c r="M67" s="99">
        <f ca="1">IF(M24&gt;0,M24+M34+M41-PV($E$7*0.01,$E$6,M46,,1),"NA")</f>
        <v>8871050.1437379941</v>
      </c>
      <c r="N67" s="138"/>
      <c r="O67" s="99" t="str">
        <f ca="1">IF(O24&gt;0,O24+O34+O41-PV($E$7*0.01,$E$6,O46,,1),"NA")</f>
        <v>NA</v>
      </c>
      <c r="P67" s="138"/>
      <c r="Q67" s="99" t="str">
        <f ca="1">IF(Q24&gt;0,Q24+Q34+Q41-PV($E$7*0.01,$E$6,Q46,,1),"NA")</f>
        <v>NA</v>
      </c>
      <c r="R67" s="138"/>
      <c r="S67" s="99" t="str">
        <f ca="1">IF(S24&gt;0,S24+S34+S41-PV($E$7*0.01,$E$6,S46,,1),"NA")</f>
        <v>NA</v>
      </c>
      <c r="T67" s="138"/>
      <c r="U67" s="99" t="str">
        <f ca="1">IF(U24&gt;0,U24+U34+U41-PV($E$7*0.01,$E$6,U46,,1),"NA")</f>
        <v>NA</v>
      </c>
      <c r="V67" s="138"/>
      <c r="W67" s="99" t="str">
        <f ca="1">IF(W24&gt;0,W24+W34+W41-PV($E$7*0.01,$E$6,W46,,1),"NA")</f>
        <v>NA</v>
      </c>
    </row>
    <row r="68" spans="2:23" s="129" customFormat="1">
      <c r="B68" s="136"/>
      <c r="C68" s="137" t="s">
        <v>173</v>
      </c>
      <c r="D68" s="138"/>
      <c r="E68" s="99">
        <f ca="1">IF(E24&gt;0,E65+E56+E41+E34+E24,"NA")</f>
        <v>9889129.3531961683</v>
      </c>
      <c r="F68" s="138"/>
      <c r="G68" s="99">
        <f ca="1">IF(G24&gt;0,G65+G56+G41+G34+G24,"NA")</f>
        <v>5416491.7362254001</v>
      </c>
      <c r="H68" s="138"/>
      <c r="I68" s="99">
        <f ca="1">IF(I24&gt;0,I65+I56+I41+I34+I24,"NA")</f>
        <v>4468830.5361490957</v>
      </c>
      <c r="J68" s="138"/>
      <c r="K68" s="99">
        <f ca="1">IF(K24&gt;0,K65+K56+K41+K34+K24,"NA")</f>
        <v>5608368.9384509157</v>
      </c>
      <c r="L68" s="138"/>
      <c r="M68" s="99">
        <f ca="1">IF(M24&gt;0,M65+M56+M41+M34+M24,"NA")</f>
        <v>8871050.1437379941</v>
      </c>
      <c r="N68" s="138"/>
      <c r="O68" s="99" t="str">
        <f ca="1">IF(O24&gt;0,O65+O56+O41+O34+O24,"NA")</f>
        <v>NA</v>
      </c>
      <c r="P68" s="138"/>
      <c r="Q68" s="99" t="str">
        <f ca="1">IF(Q24&gt;0,Q65+Q56+Q41+Q34+Q24,"NA")</f>
        <v>NA</v>
      </c>
      <c r="R68" s="138"/>
      <c r="S68" s="99" t="str">
        <f ca="1">IF(S24&gt;0,S65+S56+S41+S34+S24,"NA")</f>
        <v>NA</v>
      </c>
      <c r="T68" s="138"/>
      <c r="U68" s="99" t="str">
        <f ca="1">IF(U24&gt;0,U65+U56+U41+U34+U24,"NA")</f>
        <v>NA</v>
      </c>
      <c r="V68" s="138"/>
      <c r="W68" s="99" t="str">
        <f ca="1">IF(W24&gt;0,W65+W56+W41+W34+W24,"NA")</f>
        <v>NA</v>
      </c>
    </row>
    <row r="69" spans="2:23" s="129" customFormat="1">
      <c r="B69" s="136"/>
      <c r="C69" s="137" t="s">
        <v>174</v>
      </c>
      <c r="D69" s="64"/>
      <c r="E69" s="99">
        <f ca="1">IF(ISNUMBER(E68),E68*$E$14,"NA")</f>
        <v>118669552.23835403</v>
      </c>
      <c r="F69" s="64"/>
      <c r="G69" s="99">
        <f ca="1">IF(ISNUMBER(G68),G68*$E$14,"NA")</f>
        <v>64997900.834704801</v>
      </c>
      <c r="H69" s="64"/>
      <c r="I69" s="99">
        <f ca="1">IF(ISNUMBER(I68),I68*$E$14,"NA")</f>
        <v>53625966.433789149</v>
      </c>
      <c r="J69" s="64"/>
      <c r="K69" s="99">
        <f ca="1">IF(ISNUMBER(K68),K68*$E$14,"NA")</f>
        <v>67300427.261410981</v>
      </c>
      <c r="L69" s="64"/>
      <c r="M69" s="99">
        <f ca="1">IF(ISNUMBER(M68),M68*$E$14,"NA")</f>
        <v>106452601.72485593</v>
      </c>
      <c r="N69" s="64"/>
      <c r="O69" s="99" t="str">
        <f ca="1">IF(ISNUMBER(O68),O68*$E$14,"NA")</f>
        <v>NA</v>
      </c>
      <c r="P69" s="64"/>
      <c r="Q69" s="99" t="str">
        <f ca="1">IF(ISNUMBER(Q68),Q68*$E$14,"NA")</f>
        <v>NA</v>
      </c>
      <c r="R69" s="64"/>
      <c r="S69" s="99" t="str">
        <f ca="1">IF(ISNUMBER(S68),S68*$E$14,"NA")</f>
        <v>NA</v>
      </c>
      <c r="T69" s="64"/>
      <c r="U69" s="99" t="str">
        <f ca="1">IF(ISNUMBER(U68),U68*$E$14,"NA")</f>
        <v>NA</v>
      </c>
      <c r="V69" s="64"/>
      <c r="W69" s="99" t="str">
        <f ca="1">IF(ISNUMBER(W68),W68*$E$14,"NA")</f>
        <v>NA</v>
      </c>
    </row>
    <row r="71" spans="2:23" s="129" customFormat="1">
      <c r="B71" s="122"/>
      <c r="C71" s="169" t="s">
        <v>189</v>
      </c>
      <c r="D71" s="105"/>
      <c r="E71" s="90" t="s">
        <v>101</v>
      </c>
      <c r="F71" s="105"/>
      <c r="G71" s="99">
        <f ca="1">INDEX(E67:W67,MATCH(E71,E12:W12,0))</f>
        <v>8871050.1437379941</v>
      </c>
    </row>
    <row r="72" spans="2:23">
      <c r="B72" s="136"/>
      <c r="C72" s="137" t="s">
        <v>191</v>
      </c>
      <c r="D72" s="138"/>
      <c r="E72" s="99">
        <f ca="1">IF(ISNUMBER(E67),E67-$G$71,"NA")</f>
        <v>5721567.9463902246</v>
      </c>
      <c r="F72" s="138"/>
      <c r="G72" s="99">
        <f ca="1">IF(ISNUMBER(G67),G67-$G$71,"NA")</f>
        <v>1248930.3294194564</v>
      </c>
      <c r="H72" s="138"/>
      <c r="I72" s="99">
        <f ca="1">IF(ISNUMBER(I67),I67-$G$71,"NA")</f>
        <v>301269.12934315205</v>
      </c>
      <c r="J72" s="138"/>
      <c r="K72" s="99">
        <f ca="1">IF(ISNUMBER(K67),K67-$G$71,"NA")</f>
        <v>1440807.531644972</v>
      </c>
      <c r="L72" s="138"/>
      <c r="M72" s="99">
        <f ca="1">IF(ISNUMBER(M67),M67-$G$71,"NA")</f>
        <v>0</v>
      </c>
      <c r="N72" s="138"/>
      <c r="O72" s="99" t="str">
        <f ca="1">IF(ISNUMBER(O67),O67-$G$71,"NA")</f>
        <v>NA</v>
      </c>
      <c r="P72" s="138"/>
      <c r="Q72" s="99" t="str">
        <f ca="1">IF(ISNUMBER(Q67),Q67-$G$71,"NA")</f>
        <v>NA</v>
      </c>
      <c r="R72" s="138"/>
      <c r="S72" s="99" t="str">
        <f ca="1">IF(ISNUMBER(S67),S67-$G$71,"NA")</f>
        <v>NA</v>
      </c>
      <c r="T72" s="138"/>
      <c r="U72" s="99" t="str">
        <f ca="1">IF(ISNUMBER(U67),U67-$G$71,"NA")</f>
        <v>NA</v>
      </c>
      <c r="V72" s="138"/>
      <c r="W72" s="99" t="str">
        <f ca="1">IF(ISNUMBER(W67),W67-$G$71,"NA")</f>
        <v>NA</v>
      </c>
    </row>
    <row r="73" spans="2:23">
      <c r="E73" s="91"/>
      <c r="G73" s="91"/>
      <c r="I73" s="91"/>
      <c r="K73" s="91"/>
      <c r="M73" s="91"/>
      <c r="O73" s="91"/>
      <c r="Q73" s="91"/>
      <c r="S73" s="91"/>
      <c r="U73" s="91"/>
      <c r="W73" s="91"/>
    </row>
    <row r="74" spans="2:23">
      <c r="B74" s="122"/>
      <c r="C74" s="169" t="s">
        <v>190</v>
      </c>
      <c r="D74" s="105"/>
      <c r="E74" s="90" t="str">
        <f ca="1">INDIRECT(ADDRESS(12,MATCH(MIN(E69:W69),E69:W69,0)+4))</f>
        <v>車款 3</v>
      </c>
    </row>
    <row r="75" spans="2:23">
      <c r="B75" s="122"/>
      <c r="C75" s="169" t="s">
        <v>173</v>
      </c>
      <c r="D75" s="105" t="s">
        <v>25</v>
      </c>
      <c r="E75" s="91">
        <f t="array" aca="1" ref="E75" ca="1">MIN(IF(E69:W69&gt;0,E69:W69))</f>
        <v>53625966.433789149</v>
      </c>
      <c r="G75" s="91"/>
      <c r="I75" s="91"/>
    </row>
    <row r="78" spans="2:23">
      <c r="G78" s="162"/>
      <c r="I78" s="162"/>
    </row>
    <row r="79" spans="2:23">
      <c r="G79" s="162"/>
      <c r="I79" s="162"/>
    </row>
    <row r="80" spans="2:23">
      <c r="G80" s="162"/>
      <c r="I80" s="162"/>
    </row>
    <row r="81" spans="2:9">
      <c r="B81" s="61" t="s">
        <v>88</v>
      </c>
      <c r="C81" s="62"/>
      <c r="D81" s="63"/>
      <c r="G81" s="162"/>
      <c r="I81" s="162"/>
    </row>
    <row r="82" spans="2:9">
      <c r="B82" s="96"/>
      <c r="C82" s="77"/>
      <c r="D82" s="92" t="s">
        <v>92</v>
      </c>
    </row>
    <row r="83" spans="2:9">
      <c r="B83" s="96"/>
      <c r="C83" s="80" t="s">
        <v>50</v>
      </c>
      <c r="D83" s="97">
        <f ca="1">IF(CELL("contents",$E$6)&gt;0,INDEX(能源價格!$D$6:$P$6,範例_LCC總表!$E$6)/範例_LCC總表!$E$6,"")</f>
        <v>2.0374581954024158E-2</v>
      </c>
    </row>
    <row r="84" spans="2:9">
      <c r="B84" s="96"/>
      <c r="C84" s="80" t="s">
        <v>52</v>
      </c>
      <c r="D84" s="97">
        <f ca="1">IF(CELL("contents",$E$6)&gt;0,INDEX(能源價格!$D$9:$P$9,範例_LCC總表!$E$6)/範例_LCC總表!$E$6,"")</f>
        <v>1.2428001371032496E-2</v>
      </c>
    </row>
    <row r="85" spans="2:9">
      <c r="B85" s="96"/>
      <c r="C85" s="80" t="s">
        <v>54</v>
      </c>
      <c r="D85" s="97">
        <f ca="1">IF(CELL("contents",$E$6)&gt;0,INDEX(能源價格!$D$12:$P$12,範例_LCC總表!$E$6)/範例_LCC總表!$E$6,"")</f>
        <v>7.1112470759330361E-3</v>
      </c>
    </row>
    <row r="86" spans="2:9">
      <c r="B86" s="96"/>
      <c r="C86" s="80" t="s">
        <v>85</v>
      </c>
      <c r="D86" s="97">
        <f ca="1">IF(CELL("contents",$E$6)&gt;0,INDEX(能源價格!D15:Z15,範例_LCC總表!$E$6)/範例_LCC總表!$E$6,"")</f>
        <v>-5.9740060535042917E-2</v>
      </c>
    </row>
  </sheetData>
  <sheetProtection selectLockedCells="1"/>
  <phoneticPr fontId="3" type="noConversion"/>
  <conditionalFormatting sqref="E15">
    <cfRule type="expression" dxfId="110" priority="141">
      <formula>E16&gt;0</formula>
    </cfRule>
  </conditionalFormatting>
  <conditionalFormatting sqref="O15">
    <cfRule type="expression" dxfId="109" priority="140">
      <formula>O16&gt;0</formula>
    </cfRule>
  </conditionalFormatting>
  <conditionalFormatting sqref="Q15">
    <cfRule type="expression" dxfId="108" priority="139">
      <formula>Q16&gt;0</formula>
    </cfRule>
  </conditionalFormatting>
  <conditionalFormatting sqref="E33">
    <cfRule type="expression" priority="134">
      <formula>E$28="電力"</formula>
    </cfRule>
    <cfRule type="expression" dxfId="107" priority="135">
      <formula>E$28&lt;&gt;"電力"</formula>
    </cfRule>
    <cfRule type="expression" dxfId="106" priority="138">
      <formula>E31&gt;0</formula>
    </cfRule>
  </conditionalFormatting>
  <conditionalFormatting sqref="E20">
    <cfRule type="expression" dxfId="105" priority="137">
      <formula>E22&gt;0</formula>
    </cfRule>
  </conditionalFormatting>
  <conditionalFormatting sqref="E31">
    <cfRule type="expression" priority="131">
      <formula>E$28="電力"</formula>
    </cfRule>
    <cfRule type="expression" dxfId="104" priority="136">
      <formula>E$28&lt;&gt;"電力"</formula>
    </cfRule>
  </conditionalFormatting>
  <conditionalFormatting sqref="E32">
    <cfRule type="expression" dxfId="103" priority="132">
      <formula>E$28&lt;&gt;"電力"</formula>
    </cfRule>
    <cfRule type="expression" priority="133">
      <formula>E$28="電力"</formula>
    </cfRule>
  </conditionalFormatting>
  <conditionalFormatting sqref="I31">
    <cfRule type="expression" priority="129">
      <formula>$E$28="電力"</formula>
    </cfRule>
    <cfRule type="expression" dxfId="102" priority="130">
      <formula>I$28&lt;&gt;"電力"</formula>
    </cfRule>
  </conditionalFormatting>
  <conditionalFormatting sqref="K31">
    <cfRule type="expression" priority="127">
      <formula>$E$28="電力"</formula>
    </cfRule>
    <cfRule type="expression" dxfId="101" priority="128">
      <formula>K$28&lt;&gt;"電力"</formula>
    </cfRule>
  </conditionalFormatting>
  <conditionalFormatting sqref="M31">
    <cfRule type="expression" priority="125">
      <formula>$E$28="電力"</formula>
    </cfRule>
    <cfRule type="expression" dxfId="100" priority="126">
      <formula>M$28&lt;&gt;"電力"</formula>
    </cfRule>
  </conditionalFormatting>
  <conditionalFormatting sqref="O31">
    <cfRule type="expression" priority="123">
      <formula>$E$28="電力"</formula>
    </cfRule>
    <cfRule type="expression" dxfId="99" priority="124">
      <formula>O$28&lt;&gt;"電力"</formula>
    </cfRule>
  </conditionalFormatting>
  <conditionalFormatting sqref="G31">
    <cfRule type="expression" priority="121">
      <formula>G$28="電力"</formula>
    </cfRule>
    <cfRule type="expression" dxfId="98" priority="122">
      <formula>G$28&lt;&gt;"電力"</formula>
    </cfRule>
  </conditionalFormatting>
  <conditionalFormatting sqref="E22 G22 I22 K22 M22 O22 Q22 S22 U22 W22">
    <cfRule type="expression" dxfId="97" priority="120">
      <formula>E20&gt;0</formula>
    </cfRule>
  </conditionalFormatting>
  <conditionalFormatting sqref="E21">
    <cfRule type="expression" dxfId="96" priority="119">
      <formula>E23&gt;0</formula>
    </cfRule>
  </conditionalFormatting>
  <conditionalFormatting sqref="G23">
    <cfRule type="expression" dxfId="95" priority="118">
      <formula>G21&gt;0</formula>
    </cfRule>
  </conditionalFormatting>
  <conditionalFormatting sqref="I23">
    <cfRule type="expression" dxfId="94" priority="117">
      <formula>I21&gt;0</formula>
    </cfRule>
  </conditionalFormatting>
  <conditionalFormatting sqref="K23">
    <cfRule type="expression" dxfId="93" priority="116">
      <formula>K21&gt;0</formula>
    </cfRule>
  </conditionalFormatting>
  <conditionalFormatting sqref="M23">
    <cfRule type="expression" dxfId="92" priority="115">
      <formula>M21&gt;0</formula>
    </cfRule>
  </conditionalFormatting>
  <conditionalFormatting sqref="O23">
    <cfRule type="expression" dxfId="91" priority="114">
      <formula>O21&gt;0</formula>
    </cfRule>
  </conditionalFormatting>
  <conditionalFormatting sqref="Q23">
    <cfRule type="expression" dxfId="90" priority="113">
      <formula>Q21&gt;0</formula>
    </cfRule>
  </conditionalFormatting>
  <conditionalFormatting sqref="S23">
    <cfRule type="expression" dxfId="89" priority="112">
      <formula>S21&gt;0</formula>
    </cfRule>
  </conditionalFormatting>
  <conditionalFormatting sqref="U23">
    <cfRule type="expression" dxfId="88" priority="111">
      <formula>U21&gt;0</formula>
    </cfRule>
  </conditionalFormatting>
  <conditionalFormatting sqref="W23">
    <cfRule type="expression" dxfId="87" priority="110">
      <formula>W21&gt;0</formula>
    </cfRule>
  </conditionalFormatting>
  <conditionalFormatting sqref="G15">
    <cfRule type="expression" dxfId="86" priority="109">
      <formula>G16&gt;0</formula>
    </cfRule>
  </conditionalFormatting>
  <conditionalFormatting sqref="E16">
    <cfRule type="expression" dxfId="85" priority="108">
      <formula>E$15&gt;0</formula>
    </cfRule>
  </conditionalFormatting>
  <conditionalFormatting sqref="G16">
    <cfRule type="expression" dxfId="84" priority="107">
      <formula>G$15&gt;0</formula>
    </cfRule>
  </conditionalFormatting>
  <conditionalFormatting sqref="K16">
    <cfRule type="expression" dxfId="83" priority="106">
      <formula>K$15&gt;0</formula>
    </cfRule>
  </conditionalFormatting>
  <conditionalFormatting sqref="M16">
    <cfRule type="expression" dxfId="82" priority="105">
      <formula>M$15&gt;0</formula>
    </cfRule>
  </conditionalFormatting>
  <conditionalFormatting sqref="O16">
    <cfRule type="expression" dxfId="81" priority="104">
      <formula>O$15&gt;0</formula>
    </cfRule>
  </conditionalFormatting>
  <conditionalFormatting sqref="Q16">
    <cfRule type="expression" dxfId="80" priority="103">
      <formula>Q$15&gt;0</formula>
    </cfRule>
  </conditionalFormatting>
  <conditionalFormatting sqref="S16">
    <cfRule type="expression" dxfId="79" priority="102">
      <formula>S$15&gt;0</formula>
    </cfRule>
  </conditionalFormatting>
  <conditionalFormatting sqref="U16">
    <cfRule type="expression" dxfId="78" priority="101">
      <formula>U$15&gt;0</formula>
    </cfRule>
  </conditionalFormatting>
  <conditionalFormatting sqref="W16">
    <cfRule type="expression" dxfId="77" priority="100">
      <formula>W$15&gt;0</formula>
    </cfRule>
  </conditionalFormatting>
  <conditionalFormatting sqref="G32">
    <cfRule type="expression" dxfId="76" priority="98">
      <formula>G$28&lt;&gt;"電力"</formula>
    </cfRule>
    <cfRule type="expression" priority="99">
      <formula>G$28="電力"</formula>
    </cfRule>
  </conditionalFormatting>
  <conditionalFormatting sqref="I32">
    <cfRule type="expression" dxfId="75" priority="96">
      <formula>I$28&lt;&gt;"電力"</formula>
    </cfRule>
    <cfRule type="expression" priority="97">
      <formula>I$28="電力"</formula>
    </cfRule>
  </conditionalFormatting>
  <conditionalFormatting sqref="K32">
    <cfRule type="expression" dxfId="74" priority="94">
      <formula>K$28&lt;&gt;"電力"</formula>
    </cfRule>
    <cfRule type="expression" priority="95">
      <formula>K$28="電力"</formula>
    </cfRule>
  </conditionalFormatting>
  <conditionalFormatting sqref="M32">
    <cfRule type="expression" dxfId="73" priority="92">
      <formula>M$28&lt;&gt;"電力"</formula>
    </cfRule>
    <cfRule type="expression" priority="93">
      <formula>M$28="電力"</formula>
    </cfRule>
  </conditionalFormatting>
  <conditionalFormatting sqref="O32">
    <cfRule type="expression" dxfId="72" priority="90">
      <formula>O$28&lt;&gt;"電力"</formula>
    </cfRule>
    <cfRule type="expression" priority="91">
      <formula>O$28="電力"</formula>
    </cfRule>
  </conditionalFormatting>
  <conditionalFormatting sqref="S32">
    <cfRule type="expression" dxfId="71" priority="88">
      <formula>S$28&lt;&gt;"電力"</formula>
    </cfRule>
    <cfRule type="expression" priority="89">
      <formula>S$28="電力"</formula>
    </cfRule>
  </conditionalFormatting>
  <conditionalFormatting sqref="I16">
    <cfRule type="expression" dxfId="70" priority="87">
      <formula>I$15&gt;0</formula>
    </cfRule>
  </conditionalFormatting>
  <conditionalFormatting sqref="G17">
    <cfRule type="expression" dxfId="69" priority="85">
      <formula>G$28&lt;&gt;"電力"</formula>
    </cfRule>
  </conditionalFormatting>
  <conditionalFormatting sqref="E17">
    <cfRule type="expression" dxfId="68" priority="86">
      <formula>E$28&lt;&gt;"電力"</formula>
    </cfRule>
  </conditionalFormatting>
  <conditionalFormatting sqref="K17">
    <cfRule type="expression" dxfId="67" priority="84">
      <formula>K$28&lt;&gt;"電力"</formula>
    </cfRule>
  </conditionalFormatting>
  <conditionalFormatting sqref="M17">
    <cfRule type="expression" dxfId="66" priority="83">
      <formula>M$28&lt;&gt;"電力"</formula>
    </cfRule>
  </conditionalFormatting>
  <conditionalFormatting sqref="Q17">
    <cfRule type="expression" dxfId="65" priority="82">
      <formula>Q$28&lt;&gt;"電力"</formula>
    </cfRule>
  </conditionalFormatting>
  <conditionalFormatting sqref="I15">
    <cfRule type="expression" dxfId="64" priority="81">
      <formula>I16&gt;0</formula>
    </cfRule>
  </conditionalFormatting>
  <conditionalFormatting sqref="K15">
    <cfRule type="expression" dxfId="63" priority="80">
      <formula>K16&gt;0</formula>
    </cfRule>
  </conditionalFormatting>
  <conditionalFormatting sqref="G18">
    <cfRule type="expression" dxfId="62" priority="79">
      <formula>G$28&lt;&gt;"電力"</formula>
    </cfRule>
  </conditionalFormatting>
  <conditionalFormatting sqref="E18">
    <cfRule type="expression" dxfId="61" priority="78">
      <formula>E$28&lt;&gt;"電力"</formula>
    </cfRule>
  </conditionalFormatting>
  <conditionalFormatting sqref="I18">
    <cfRule type="expression" dxfId="60" priority="77">
      <formula>I$28&lt;&gt;"電力"</formula>
    </cfRule>
  </conditionalFormatting>
  <conditionalFormatting sqref="K18">
    <cfRule type="expression" dxfId="59" priority="76">
      <formula>K$28&lt;&gt;"電力"</formula>
    </cfRule>
  </conditionalFormatting>
  <conditionalFormatting sqref="M18">
    <cfRule type="expression" dxfId="58" priority="75">
      <formula>M$28&lt;&gt;"電力"</formula>
    </cfRule>
  </conditionalFormatting>
  <conditionalFormatting sqref="I17">
    <cfRule type="expression" dxfId="57" priority="74">
      <formula>I$28&lt;&gt;"電力"</formula>
    </cfRule>
  </conditionalFormatting>
  <conditionalFormatting sqref="M15">
    <cfRule type="expression" dxfId="56" priority="73">
      <formula>M16&gt;0</formula>
    </cfRule>
  </conditionalFormatting>
  <conditionalFormatting sqref="O17">
    <cfRule type="expression" dxfId="55" priority="72">
      <formula>O$28&lt;&gt;"電力"</formula>
    </cfRule>
  </conditionalFormatting>
  <conditionalFormatting sqref="O18">
    <cfRule type="expression" dxfId="54" priority="71">
      <formula>O$28&lt;&gt;"電力"</formula>
    </cfRule>
  </conditionalFormatting>
  <conditionalFormatting sqref="Q18">
    <cfRule type="expression" dxfId="53" priority="70">
      <formula>Q$28&lt;&gt;"電力"</formula>
    </cfRule>
  </conditionalFormatting>
  <conditionalFormatting sqref="E23">
    <cfRule type="expression" dxfId="52" priority="69">
      <formula>E21&gt;0</formula>
    </cfRule>
  </conditionalFormatting>
  <conditionalFormatting sqref="G20">
    <cfRule type="expression" dxfId="51" priority="68">
      <formula>G22&gt;0</formula>
    </cfRule>
  </conditionalFormatting>
  <conditionalFormatting sqref="I20">
    <cfRule type="expression" dxfId="50" priority="67">
      <formula>I22&gt;0</formula>
    </cfRule>
  </conditionalFormatting>
  <conditionalFormatting sqref="K20">
    <cfRule type="expression" dxfId="49" priority="66">
      <formula>K22&gt;0</formula>
    </cfRule>
  </conditionalFormatting>
  <conditionalFormatting sqref="M20">
    <cfRule type="expression" dxfId="48" priority="65">
      <formula>M22&gt;0</formula>
    </cfRule>
  </conditionalFormatting>
  <conditionalFormatting sqref="O20">
    <cfRule type="expression" dxfId="47" priority="64">
      <formula>O22&gt;0</formula>
    </cfRule>
  </conditionalFormatting>
  <conditionalFormatting sqref="Q20">
    <cfRule type="expression" dxfId="46" priority="63">
      <formula>Q22&gt;0</formula>
    </cfRule>
  </conditionalFormatting>
  <conditionalFormatting sqref="U20">
    <cfRule type="expression" dxfId="45" priority="62">
      <formula>U22&gt;0</formula>
    </cfRule>
  </conditionalFormatting>
  <conditionalFormatting sqref="W20">
    <cfRule type="expression" dxfId="44" priority="61">
      <formula>W22&gt;0</formula>
    </cfRule>
  </conditionalFormatting>
  <conditionalFormatting sqref="G21">
    <cfRule type="expression" dxfId="43" priority="60">
      <formula>G23&gt;0</formula>
    </cfRule>
  </conditionalFormatting>
  <conditionalFormatting sqref="I21">
    <cfRule type="expression" dxfId="42" priority="59">
      <formula>I23&gt;0</formula>
    </cfRule>
  </conditionalFormatting>
  <conditionalFormatting sqref="K21">
    <cfRule type="expression" dxfId="41" priority="58">
      <formula>K23&gt;0</formula>
    </cfRule>
  </conditionalFormatting>
  <conditionalFormatting sqref="M21">
    <cfRule type="expression" dxfId="40" priority="57">
      <formula>M23&gt;0</formula>
    </cfRule>
  </conditionalFormatting>
  <conditionalFormatting sqref="O21">
    <cfRule type="expression" dxfId="39" priority="56">
      <formula>O23&gt;0</formula>
    </cfRule>
  </conditionalFormatting>
  <conditionalFormatting sqref="Q21">
    <cfRule type="expression" dxfId="38" priority="55">
      <formula>Q23&gt;0</formula>
    </cfRule>
  </conditionalFormatting>
  <conditionalFormatting sqref="S21">
    <cfRule type="expression" dxfId="37" priority="54">
      <formula>S23&gt;0</formula>
    </cfRule>
  </conditionalFormatting>
  <conditionalFormatting sqref="U21">
    <cfRule type="expression" dxfId="36" priority="53">
      <formula>U23&gt;0</formula>
    </cfRule>
  </conditionalFormatting>
  <conditionalFormatting sqref="W21">
    <cfRule type="expression" dxfId="35" priority="52">
      <formula>W23&gt;0</formula>
    </cfRule>
  </conditionalFormatting>
  <conditionalFormatting sqref="Q31">
    <cfRule type="expression" priority="50">
      <formula>$E$28="電力"</formula>
    </cfRule>
    <cfRule type="expression" dxfId="34" priority="51">
      <formula>Q$28&lt;&gt;"電力"</formula>
    </cfRule>
  </conditionalFormatting>
  <conditionalFormatting sqref="Q32">
    <cfRule type="expression" dxfId="33" priority="48">
      <formula>Q$28&lt;&gt;"電力"</formula>
    </cfRule>
    <cfRule type="expression" priority="49">
      <formula>Q$28="電力"</formula>
    </cfRule>
  </conditionalFormatting>
  <conditionalFormatting sqref="S15">
    <cfRule type="expression" dxfId="32" priority="47">
      <formula>S16&gt;0</formula>
    </cfRule>
  </conditionalFormatting>
  <conditionalFormatting sqref="S17">
    <cfRule type="expression" dxfId="31" priority="46">
      <formula>S$28&lt;&gt;"電力"</formula>
    </cfRule>
  </conditionalFormatting>
  <conditionalFormatting sqref="S18">
    <cfRule type="expression" dxfId="30" priority="45">
      <formula>S$28&lt;&gt;"電力"</formula>
    </cfRule>
  </conditionalFormatting>
  <conditionalFormatting sqref="S20">
    <cfRule type="expression" dxfId="29" priority="44">
      <formula>S22&gt;0</formula>
    </cfRule>
  </conditionalFormatting>
  <conditionalFormatting sqref="S31">
    <cfRule type="expression" priority="42">
      <formula>$E$28="電力"</formula>
    </cfRule>
    <cfRule type="expression" dxfId="28" priority="43">
      <formula>S$28&lt;&gt;"電力"</formula>
    </cfRule>
  </conditionalFormatting>
  <conditionalFormatting sqref="G33">
    <cfRule type="expression" priority="39">
      <formula>G$28="電力"</formula>
    </cfRule>
    <cfRule type="expression" dxfId="27" priority="40">
      <formula>G$28&lt;&gt;"電力"</formula>
    </cfRule>
    <cfRule type="expression" dxfId="26" priority="41">
      <formula>G31&gt;0</formula>
    </cfRule>
  </conditionalFormatting>
  <conditionalFormatting sqref="I33">
    <cfRule type="expression" priority="36">
      <formula>I$28="電力"</formula>
    </cfRule>
    <cfRule type="expression" dxfId="25" priority="37">
      <formula>I$28&lt;&gt;"電力"</formula>
    </cfRule>
    <cfRule type="expression" dxfId="24" priority="38">
      <formula>I31&gt;0</formula>
    </cfRule>
  </conditionalFormatting>
  <conditionalFormatting sqref="K33">
    <cfRule type="expression" priority="33">
      <formula>K$28="電力"</formula>
    </cfRule>
    <cfRule type="expression" dxfId="23" priority="34">
      <formula>K$28&lt;&gt;"電力"</formula>
    </cfRule>
    <cfRule type="expression" dxfId="22" priority="35">
      <formula>K31&gt;0</formula>
    </cfRule>
  </conditionalFormatting>
  <conditionalFormatting sqref="M33">
    <cfRule type="expression" priority="30">
      <formula>M$28="電力"</formula>
    </cfRule>
    <cfRule type="expression" dxfId="21" priority="31">
      <formula>M$28&lt;&gt;"電力"</formula>
    </cfRule>
    <cfRule type="expression" dxfId="20" priority="32">
      <formula>M31&gt;0</formula>
    </cfRule>
  </conditionalFormatting>
  <conditionalFormatting sqref="O33">
    <cfRule type="expression" priority="27">
      <formula>O$28="電力"</formula>
    </cfRule>
    <cfRule type="expression" dxfId="19" priority="28">
      <formula>O$28&lt;&gt;"電力"</formula>
    </cfRule>
    <cfRule type="expression" dxfId="18" priority="29">
      <formula>O31&gt;0</formula>
    </cfRule>
  </conditionalFormatting>
  <conditionalFormatting sqref="Q33">
    <cfRule type="expression" priority="24">
      <formula>Q$28="電力"</formula>
    </cfRule>
    <cfRule type="expression" dxfId="17" priority="25">
      <formula>Q$28&lt;&gt;"電力"</formula>
    </cfRule>
    <cfRule type="expression" dxfId="16" priority="26">
      <formula>Q31&gt;0</formula>
    </cfRule>
  </conditionalFormatting>
  <conditionalFormatting sqref="S33">
    <cfRule type="expression" priority="21">
      <formula>S$28="電力"</formula>
    </cfRule>
    <cfRule type="expression" dxfId="15" priority="22">
      <formula>S$28&lt;&gt;"電力"</formula>
    </cfRule>
    <cfRule type="expression" dxfId="14" priority="23">
      <formula>S31&gt;0</formula>
    </cfRule>
  </conditionalFormatting>
  <conditionalFormatting sqref="U33">
    <cfRule type="expression" priority="18">
      <formula>U$28="電力"</formula>
    </cfRule>
    <cfRule type="expression" dxfId="13" priority="19">
      <formula>U$28&lt;&gt;"電力"</formula>
    </cfRule>
    <cfRule type="expression" dxfId="12" priority="20">
      <formula>U31&gt;0</formula>
    </cfRule>
  </conditionalFormatting>
  <conditionalFormatting sqref="W33">
    <cfRule type="expression" priority="15">
      <formula>W$28="電力"</formula>
    </cfRule>
    <cfRule type="expression" dxfId="11" priority="16">
      <formula>W$28&lt;&gt;"電力"</formula>
    </cfRule>
    <cfRule type="expression" dxfId="10" priority="17">
      <formula>W31&gt;0</formula>
    </cfRule>
  </conditionalFormatting>
  <conditionalFormatting sqref="U32">
    <cfRule type="expression" dxfId="9" priority="13">
      <formula>U$28&lt;&gt;"電力"</formula>
    </cfRule>
    <cfRule type="expression" priority="14">
      <formula>U$28="電力"</formula>
    </cfRule>
  </conditionalFormatting>
  <conditionalFormatting sqref="U31">
    <cfRule type="expression" priority="11">
      <formula>$E$28="電力"</formula>
    </cfRule>
    <cfRule type="expression" dxfId="8" priority="12">
      <formula>U$28&lt;&gt;"電力"</formula>
    </cfRule>
  </conditionalFormatting>
  <conditionalFormatting sqref="W32">
    <cfRule type="expression" dxfId="7" priority="9">
      <formula>W$28&lt;&gt;"電力"</formula>
    </cfRule>
    <cfRule type="expression" priority="10">
      <formula>W$28="電力"</formula>
    </cfRule>
  </conditionalFormatting>
  <conditionalFormatting sqref="W31">
    <cfRule type="expression" priority="7">
      <formula>$E$28="電力"</formula>
    </cfRule>
    <cfRule type="expression" dxfId="6" priority="8">
      <formula>W$28&lt;&gt;"電力"</formula>
    </cfRule>
  </conditionalFormatting>
  <conditionalFormatting sqref="U15">
    <cfRule type="expression" dxfId="5" priority="6">
      <formula>U16&gt;0</formula>
    </cfRule>
  </conditionalFormatting>
  <conditionalFormatting sqref="W15">
    <cfRule type="expression" dxfId="4" priority="5">
      <formula>W16&gt;0</formula>
    </cfRule>
  </conditionalFormatting>
  <conditionalFormatting sqref="U17">
    <cfRule type="expression" dxfId="3" priority="4">
      <formula>U$28&lt;&gt;"電力"</formula>
    </cfRule>
  </conditionalFormatting>
  <conditionalFormatting sqref="W17">
    <cfRule type="expression" dxfId="2" priority="3">
      <formula>W$28&lt;&gt;"電力"</formula>
    </cfRule>
  </conditionalFormatting>
  <conditionalFormatting sqref="U18">
    <cfRule type="expression" dxfId="1" priority="2">
      <formula>U$28&lt;&gt;"電力"</formula>
    </cfRule>
  </conditionalFormatting>
  <conditionalFormatting sqref="W18">
    <cfRule type="expression" dxfId="0" priority="1">
      <formula>W$28&lt;&gt;"電力"</formula>
    </cfRule>
  </conditionalFormatting>
  <dataValidations count="30">
    <dataValidation type="decimal" allowBlank="1" showInputMessage="1" showErrorMessage="1" errorTitle="重複值" error="請選擇&quot;每年預期保養成本&quot;、或&quot;每年保養服務合約費用&quot;之一。" sqref="U37 E37 W37 G37 I37 M37 O37 Q37 S37 K37">
      <formula1>0</formula1>
      <formula2>10</formula2>
    </dataValidation>
    <dataValidation type="custom" allowBlank="1" showInputMessage="1" showErrorMessage="1" errorTitle="重複值" error="輸入值過多，請選擇&quot;購買&quot;或&quot;租賃&quot;。" sqref="G20:G21 I20:I21 K20:K21 M20:M21 O20:O21 Q20:Q21 E20:E21 U20:U21 W20:W21 S20:S21">
      <formula1>E22=""</formula1>
    </dataValidation>
    <dataValidation type="custom" allowBlank="1" showInputMessage="1" showErrorMessage="1" errorTitle="重複值" error="輸入值過多，請選擇&quot;購買&quot;或&quot;租賃&quot;。" sqref="E18">
      <formula1>E$28="電力"</formula1>
    </dataValidation>
    <dataValidation type="custom" allowBlank="1" showInputMessage="1" showErrorMessage="1" errorTitle="重複值" error="輸入值過多，請選擇&quot;購買&quot;或&quot;租賃&quot;。" sqref="G18 I18">
      <formula1>G28="電力"</formula1>
    </dataValidation>
    <dataValidation type="custom" allowBlank="1" showInputMessage="1" showErrorMessage="1" errorTitle="重複值" error="輸入值過多，請選擇&quot;購買&quot;或&quot;租賃&quot;。" sqref="G17 U17 K17 M17 O17 Q17 S17 W17">
      <formula1>G28="電力"</formula1>
    </dataValidation>
    <dataValidation type="custom" allowBlank="1" showInputMessage="1" showErrorMessage="1" errorTitle="重複值" error="輸入值過多，請選擇&quot;購買&quot;或&quot;租賃&quot;。" sqref="E33 G33 Q33 U33 I33 K33 M33 O33 S33 W33">
      <formula1>AND(E28="電力",E31="")</formula1>
    </dataValidation>
    <dataValidation type="custom" allowBlank="1" showInputMessage="1" showErrorMessage="1" sqref="E32 G32 I32 K32 M32 O32 U32 S32 Q32 W32">
      <formula1>E28="電力"</formula1>
    </dataValidation>
    <dataValidation allowBlank="1" showInputMessage="1" showErrorMessage="1" promptTitle="計算值，請勿輸入" sqref="E19 U19 G19 I19 K19 M19 O19 Q19 S19 W19"/>
    <dataValidation type="whole" allowBlank="1" showInputMessage="1" showErrorMessage="1" sqref="E6">
      <formula1>1</formula1>
      <formula2>20</formula2>
    </dataValidation>
    <dataValidation allowBlank="1" showInputMessage="1" showErrorMessage="1" errorTitle="重複值" error="輸入值過多，請選擇&quot;購買&quot;或&quot;租賃&quot;。" sqref="K18 O18 Q18 U18 S18 W18 E39:E40 M39:M40 O39:O40 Q39:Q40 S39:S40 U39:U40 G39:G40 I39:I40 K39:K40 W39:W40"/>
    <dataValidation type="whole" allowBlank="1" showInputMessage="1" showErrorMessage="1" sqref="E9">
      <formula1>2019</formula1>
      <formula2>2040</formula2>
    </dataValidation>
    <dataValidation type="whole" allowBlank="1" showInputMessage="1" showErrorMessage="1" sqref="E8">
      <formula1>1</formula1>
      <formula2>10</formula2>
    </dataValidation>
    <dataValidation type="custom" allowBlank="1" showInputMessage="1" showErrorMessage="1" sqref="E31 G31 Q31 S31 U31 I31 K31 M31 O31 W31">
      <formula1>E28="電力"</formula1>
    </dataValidation>
    <dataValidation type="custom" allowBlank="1" showInputMessage="1" showErrorMessage="1" errorTitle="重複值" error="輸入值過多，請選擇&quot;購買&quot;或&quot;租賃&quot;。" sqref="W22:W23 O22:O23 Q22:Q23 S22:S23 U22:U23 G22:G23 I22:I23 K22:K23 M22:M23 E22:E23">
      <formula1>E20=""</formula1>
    </dataValidation>
    <dataValidation type="custom" allowBlank="1" showInputMessage="1" showErrorMessage="1" errorTitle="重複值" error="輸入值過多，請選擇&quot;購買&quot;或&quot;租賃&quot;。" sqref="E15 G15 I15 K15 M15 O15 Q15 U15 S15 W15">
      <formula1>E16=""</formula1>
    </dataValidation>
    <dataValidation type="custom" allowBlank="1" showInputMessage="1" showErrorMessage="1" errorTitle="重複值" error="輸入值過多，請選擇&quot;購買&quot;或&quot;租賃&quot;。" sqref="W16 E16:E17 S16 G16 Q16 I16:I17 O16 M18 U16 M16 K16">
      <formula1>E15=""</formula1>
    </dataValidation>
    <dataValidation allowBlank="1" showInputMessage="1" showErrorMessage="1" prompt="Please enter fuel consumption as detailed in the certificate of conformity (CoC)._x000a__x000a_Converter:_x000a_http://hiq.linde-gas.com/en/specialty_gases/gas_units_converter.html" sqref="B29"/>
    <dataValidation allowBlank="1" showInputMessage="1" showErrorMessage="1" prompt="Please choose a fuel type from the dropdown list. If you are assessing a dual fuel or plug-in hybrid vehicle, there is an option to choose a second fuel type below._x000a__x000a_HYBRID: choose the fuel used in the combustion engine." sqref="B28"/>
    <dataValidation allowBlank="1" showInputMessage="1" showErrorMessage="1" prompt="How many of these vehicles do you intend to lease/purchase?" sqref="B14"/>
    <dataValidation allowBlank="1" showInputMessage="1" showErrorMessage="1" prompt="If you are unsure of the annual use expected, average annual consumption for cars and buses is:_x000a__x000a_Cars: 20.000 km_x000a_Buses: 80.000km" sqref="B27"/>
    <dataValidation allowBlank="1" showInputMessage="1" showErrorMessage="1" prompt="Click on the + button to the left for options to include associated costs (such as higher parking rates for standard cars) and subsidies (such as grants for purchasing clean vehicles)." sqref="B49"/>
    <dataValidation allowBlank="1" showInputMessage="1" showErrorMessage="1" prompt="For example, additional gas filling stations or electric charge points needed to service the new vehicles." sqref="B20"/>
    <dataValidation allowBlank="1" showInputMessage="1" showErrorMessage="1" prompt="Bear in mind that clean vehicles often have a discounted tax rate." sqref="B44:B45"/>
    <dataValidation allowBlank="1" showInputMessage="1" showErrorMessage="1" prompt="Annual fixed cost for servicing vehicle if applicable" sqref="B40"/>
    <dataValidation allowBlank="1" showInputMessage="1" showErrorMessage="1" prompt="Make sure you include spare parts" sqref="B37:B39"/>
    <dataValidation allowBlank="1" showInputMessage="1" showErrorMessage="1" prompt="Enter the amount you expect the vehicle to be worth in sales, parts or scrap at the end of your usage._x000a__x000a_This amount will be subtracted from the total so please keep it in positive figures." sqref="B64"/>
    <dataValidation type="custom" allowBlank="1" showInputMessage="1" showErrorMessage="1" errorTitle="Too many inputs" error="Please choose either purchase or lease price" prompt="Please choose either a one off purchase price per vehicle in this row or an annual lease price per vehicle in the row below." sqref="B15">
      <formula1>B16=""</formula1>
    </dataValidation>
    <dataValidation allowBlank="1" showInputMessage="1" showErrorMessage="1" prompt="How many different bids/vehicles are you comparing?" sqref="B8:B9"/>
    <dataValidation allowBlank="1" showInputMessage="1" showErrorMessage="1" prompt="Lease: length of contract in years_x000a__x000a_Purchase: number of expected years of ownership" sqref="B6"/>
    <dataValidation allowBlank="1" showInputMessage="1" showErrorMessage="1" prompt="The discount rate is used to transform future costs into present value costs. Costs in the future are not &quot;worth&quot; as much as those incurred today._x000a__x000a_If you are unsure which discount rate to use, we recommend a standard European rate of 2 percent." sqref="B7"/>
  </dataValidations>
  <pageMargins left="0.7" right="0.7" top="0.75" bottom="0.75" header="0.3" footer="0.3"/>
  <pageSetup paperSize="9" scale="35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超出定義範圍" error="請選擇&quot;外購&quot;、或&quot;自行保養&quot;之一。">
          <x14:formula1>
            <xm:f>'計算過程(勿更動)'!$B$55:$B$56</xm:f>
          </x14:formula1>
          <xm:sqref>E38 U38 G38 I38 K38 M38 O38 Q38 S38 W38</xm:sqref>
        </x14:dataValidation>
        <x14:dataValidation type="list" allowBlank="1" showInputMessage="1" showErrorMessage="1">
          <x14:formula1>
            <xm:f>'計算過程(勿更動)'!$G$17:$P$17</xm:f>
          </x14:formula1>
          <xm:sqref>E71</xm:sqref>
        </x14:dataValidation>
        <x14:dataValidation type="list" allowBlank="1" showInputMessage="1" showErrorMessage="1">
          <x14:formula1>
            <xm:f>'計算過程(勿更動)'!$B$12:$B$14</xm:f>
          </x14:formula1>
          <xm:sqref>E28 G28 I28 K28 M28 O28 Q28 S28 U28 W28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R21"/>
  <sheetViews>
    <sheetView workbookViewId="0">
      <selection activeCell="C12" sqref="C12"/>
    </sheetView>
  </sheetViews>
  <sheetFormatPr defaultRowHeight="16.5"/>
  <cols>
    <col min="1" max="1" width="25" bestFit="1" customWidth="1"/>
    <col min="2" max="2" width="10.5" customWidth="1"/>
    <col min="3" max="4" width="12.5" customWidth="1"/>
    <col min="5" max="5" width="11.875" bestFit="1" customWidth="1"/>
  </cols>
  <sheetData>
    <row r="2" spans="1:18">
      <c r="A2" s="143" t="s">
        <v>163</v>
      </c>
      <c r="B2" s="143"/>
      <c r="C2" s="143"/>
    </row>
    <row r="3" spans="1:18">
      <c r="A3" s="148" t="s">
        <v>136</v>
      </c>
      <c r="B3" s="148" t="s">
        <v>135</v>
      </c>
      <c r="C3" s="74">
        <f>LCC總表!E9</f>
        <v>2019</v>
      </c>
    </row>
    <row r="4" spans="1:18">
      <c r="A4" s="148" t="s">
        <v>142</v>
      </c>
      <c r="B4" s="148" t="s">
        <v>5</v>
      </c>
      <c r="C4" s="74">
        <f>LCC總表!E6</f>
        <v>8</v>
      </c>
    </row>
    <row r="5" spans="1:18">
      <c r="A5" s="148" t="s">
        <v>3</v>
      </c>
      <c r="B5" s="148" t="s">
        <v>147</v>
      </c>
      <c r="C5" s="144">
        <v>2.5000000000000001E-2</v>
      </c>
      <c r="D5" s="71"/>
    </row>
    <row r="6" spans="1:18">
      <c r="A6" s="143" t="s">
        <v>165</v>
      </c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</row>
    <row r="7" spans="1:18">
      <c r="A7" s="148" t="s">
        <v>164</v>
      </c>
      <c r="B7" s="148"/>
      <c r="C7" s="155" t="s">
        <v>140</v>
      </c>
      <c r="D7" s="155" t="s">
        <v>146</v>
      </c>
      <c r="E7" s="155">
        <v>1</v>
      </c>
      <c r="F7" s="155">
        <v>2</v>
      </c>
      <c r="G7" s="155">
        <v>3</v>
      </c>
      <c r="H7" s="155">
        <v>4</v>
      </c>
      <c r="I7" s="155">
        <v>5</v>
      </c>
      <c r="J7" s="155">
        <v>6</v>
      </c>
      <c r="K7" s="155">
        <v>7</v>
      </c>
      <c r="L7" s="155">
        <v>8</v>
      </c>
      <c r="M7" s="155">
        <v>9</v>
      </c>
      <c r="N7" s="155">
        <v>10</v>
      </c>
      <c r="O7" s="155">
        <v>11</v>
      </c>
      <c r="P7" s="155">
        <v>12</v>
      </c>
      <c r="Q7" s="155">
        <v>13</v>
      </c>
      <c r="R7" s="155">
        <v>14</v>
      </c>
    </row>
    <row r="8" spans="1:18">
      <c r="A8" s="148" t="s">
        <v>144</v>
      </c>
      <c r="B8" s="148"/>
      <c r="C8" s="146"/>
      <c r="D8" s="146"/>
      <c r="E8" s="74">
        <f t="shared" ref="E8:R8" si="0">$C$3+E7-1</f>
        <v>2019</v>
      </c>
      <c r="F8" s="74">
        <f t="shared" si="0"/>
        <v>2020</v>
      </c>
      <c r="G8" s="74">
        <f t="shared" si="0"/>
        <v>2021</v>
      </c>
      <c r="H8" s="74">
        <f t="shared" si="0"/>
        <v>2022</v>
      </c>
      <c r="I8" s="74">
        <f t="shared" si="0"/>
        <v>2023</v>
      </c>
      <c r="J8" s="74">
        <f t="shared" si="0"/>
        <v>2024</v>
      </c>
      <c r="K8" s="74">
        <f t="shared" si="0"/>
        <v>2025</v>
      </c>
      <c r="L8" s="74">
        <f t="shared" si="0"/>
        <v>2026</v>
      </c>
      <c r="M8" s="74">
        <f t="shared" si="0"/>
        <v>2027</v>
      </c>
      <c r="N8" s="74">
        <f t="shared" si="0"/>
        <v>2028</v>
      </c>
      <c r="O8" s="74">
        <f t="shared" si="0"/>
        <v>2029</v>
      </c>
      <c r="P8" s="74">
        <f t="shared" si="0"/>
        <v>2030</v>
      </c>
      <c r="Q8" s="74">
        <f t="shared" si="0"/>
        <v>2031</v>
      </c>
      <c r="R8" s="74">
        <f t="shared" si="0"/>
        <v>2032</v>
      </c>
    </row>
    <row r="9" spans="1:18">
      <c r="A9" s="148" t="s">
        <v>145</v>
      </c>
      <c r="B9" s="148"/>
      <c r="C9" s="146"/>
      <c r="D9" s="146"/>
      <c r="E9" s="171">
        <v>0.7</v>
      </c>
      <c r="F9" s="171">
        <v>0.1</v>
      </c>
      <c r="G9" s="171">
        <v>0.1</v>
      </c>
      <c r="H9" s="171">
        <v>0.1</v>
      </c>
      <c r="I9" s="171">
        <v>0</v>
      </c>
      <c r="J9" s="171">
        <v>0</v>
      </c>
      <c r="K9" s="171">
        <v>0</v>
      </c>
      <c r="L9" s="171">
        <v>0</v>
      </c>
      <c r="M9" s="171">
        <v>0</v>
      </c>
      <c r="N9" s="171">
        <v>0</v>
      </c>
      <c r="O9" s="171">
        <v>0</v>
      </c>
      <c r="P9" s="171">
        <v>0</v>
      </c>
      <c r="Q9" s="171">
        <v>0</v>
      </c>
      <c r="R9" s="171">
        <v>0</v>
      </c>
    </row>
    <row r="10" spans="1:18">
      <c r="A10" s="148" t="s">
        <v>139</v>
      </c>
      <c r="B10" s="148" t="s">
        <v>137</v>
      </c>
      <c r="C10" s="172">
        <v>3338000</v>
      </c>
      <c r="D10" s="147">
        <f>NPV($C$5,E10:R10)</f>
        <v>3209698.2101458693</v>
      </c>
      <c r="E10" s="145">
        <f>$C$10*E9</f>
        <v>2336600</v>
      </c>
      <c r="F10" s="145">
        <f t="shared" ref="F10:R10" si="1">$C$10*F9</f>
        <v>333800</v>
      </c>
      <c r="G10" s="145">
        <f t="shared" si="1"/>
        <v>333800</v>
      </c>
      <c r="H10" s="145">
        <f t="shared" si="1"/>
        <v>333800</v>
      </c>
      <c r="I10" s="145">
        <f t="shared" si="1"/>
        <v>0</v>
      </c>
      <c r="J10" s="145">
        <f t="shared" si="1"/>
        <v>0</v>
      </c>
      <c r="K10" s="145">
        <f t="shared" si="1"/>
        <v>0</v>
      </c>
      <c r="L10" s="145">
        <f t="shared" si="1"/>
        <v>0</v>
      </c>
      <c r="M10" s="145">
        <f t="shared" si="1"/>
        <v>0</v>
      </c>
      <c r="N10" s="145">
        <f t="shared" si="1"/>
        <v>0</v>
      </c>
      <c r="O10" s="145">
        <f t="shared" si="1"/>
        <v>0</v>
      </c>
      <c r="P10" s="145">
        <f t="shared" si="1"/>
        <v>0</v>
      </c>
      <c r="Q10" s="145">
        <f t="shared" si="1"/>
        <v>0</v>
      </c>
      <c r="R10" s="145">
        <f t="shared" si="1"/>
        <v>0</v>
      </c>
    </row>
    <row r="11" spans="1:18">
      <c r="A11" s="148" t="s">
        <v>148</v>
      </c>
      <c r="B11" s="148" t="s">
        <v>149</v>
      </c>
      <c r="C11" s="172">
        <v>5</v>
      </c>
      <c r="D11" s="56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18">
      <c r="A12" s="148" t="s">
        <v>141</v>
      </c>
      <c r="B12" s="148" t="s">
        <v>137</v>
      </c>
      <c r="C12" s="172">
        <f>SUM(E12:R12)</f>
        <v>1458345</v>
      </c>
      <c r="D12" s="147">
        <f>NPV(C5,E12:R12)</f>
        <v>1322800.2899558377</v>
      </c>
      <c r="E12" s="145">
        <f>IF($C$4&gt;E7,LCC總表!$E$27*$C$11,0)</f>
        <v>208335</v>
      </c>
      <c r="F12" s="145">
        <f>IF($C$4&gt;F7,LCC總表!$E$27*$C$11,0)</f>
        <v>208335</v>
      </c>
      <c r="G12" s="145">
        <f>IF($C$4&gt;G7,LCC總表!$E$27*$C$11,0)</f>
        <v>208335</v>
      </c>
      <c r="H12" s="145">
        <f>IF($C$4&gt;H7,LCC總表!$E$27*$C$11,0)</f>
        <v>208335</v>
      </c>
      <c r="I12" s="145">
        <f>IF($C$4&gt;I7,LCC總表!$E$27*$C$11,0)</f>
        <v>208335</v>
      </c>
      <c r="J12" s="145">
        <f>IF($C$4&gt;J7,LCC總表!$E$27*$C$11,0)</f>
        <v>208335</v>
      </c>
      <c r="K12" s="145">
        <f>IF($C$4&gt;K7,LCC總表!$E$27*$C$11,0)</f>
        <v>208335</v>
      </c>
      <c r="L12" s="145">
        <f>IF($C$4&gt;L7,LCC總表!$E$27*$C$11,0)</f>
        <v>0</v>
      </c>
      <c r="M12" s="145">
        <f>IF($C$4&gt;M7,LCC總表!$E$27*$C$11,0)</f>
        <v>0</v>
      </c>
      <c r="N12" s="145">
        <f>IF($C$4&gt;N7,LCC總表!$E$27*$C$11,0)</f>
        <v>0</v>
      </c>
      <c r="O12" s="145">
        <f>IF($C$4&gt;O7,LCC總表!$E$27*$C$11,0)</f>
        <v>0</v>
      </c>
      <c r="P12" s="145">
        <f>IF($C$4&gt;P7,LCC總表!$E$27*$C$11,0)</f>
        <v>0</v>
      </c>
      <c r="Q12" s="145">
        <f>IF($C$4&gt;Q7,LCC總表!$E$27*$C$11,0)</f>
        <v>0</v>
      </c>
      <c r="R12" s="145">
        <f>IF($C$4&gt;R7,LCC總表!$E$27*$C$11,0)</f>
        <v>0</v>
      </c>
    </row>
    <row r="14" spans="1:18">
      <c r="C14" s="56"/>
      <c r="D14" s="56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6" spans="1:18">
      <c r="A16" t="s">
        <v>143</v>
      </c>
      <c r="C16" s="73">
        <f>SUM(E16:R16)</f>
        <v>0</v>
      </c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1:4">
      <c r="C17" s="65"/>
      <c r="D17" s="65"/>
    </row>
    <row r="20" spans="1:4">
      <c r="A20" t="s">
        <v>169</v>
      </c>
      <c r="B20" t="s">
        <v>170</v>
      </c>
    </row>
    <row r="21" spans="1:4">
      <c r="B21" t="s">
        <v>171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pageSetUpPr fitToPage="1"/>
  </sheetPr>
  <dimension ref="A1"/>
  <sheetViews>
    <sheetView zoomScaleNormal="100" workbookViewId="0">
      <selection activeCell="K21" sqref="K21"/>
    </sheetView>
  </sheetViews>
  <sheetFormatPr defaultRowHeight="16.5"/>
  <sheetData/>
  <sheetProtection selectLockedCells="1"/>
  <phoneticPr fontId="3" type="noConversion"/>
  <pageMargins left="0.7" right="0.7" top="0.75" bottom="0.75" header="0.3" footer="0.3"/>
  <pageSetup paperSize="9" scale="7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LCC總表</vt:lpstr>
      <vt:lpstr>補助政策</vt:lpstr>
      <vt:lpstr>LCC成本圖表</vt:lpstr>
      <vt:lpstr>能源價格</vt:lpstr>
      <vt:lpstr>計算過程(勿更動)</vt:lpstr>
      <vt:lpstr>範例_LCC總表</vt:lpstr>
      <vt:lpstr>範例_補助政策</vt:lpstr>
      <vt:lpstr>範例_LCC成本圖表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林冠廷</dc:creator>
  <cp:lastModifiedBy>林超偉</cp:lastModifiedBy>
  <cp:lastPrinted>2019-11-16T08:48:17Z</cp:lastPrinted>
  <dcterms:created xsi:type="dcterms:W3CDTF">2019-10-07T06:01:48Z</dcterms:created>
  <dcterms:modified xsi:type="dcterms:W3CDTF">2020-10-12T07:04:53Z</dcterms:modified>
</cp:coreProperties>
</file>